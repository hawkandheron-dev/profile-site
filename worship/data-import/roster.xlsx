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4" sheetId="2" r:id="rId6"/>
    <sheet state="visible" name="Sheet2" sheetId="3" r:id="rId7"/>
    <sheet state="visible" name="Teams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Q22">
      <text>
        <t xml:space="preserve">Probably. Will be getting back into town the day before</t>
      </text>
    </comment>
    <comment authorId="0" ref="BM7">
      <text>
        <t xml:space="preserve">gone </t>
      </text>
    </comment>
  </commentList>
</comments>
</file>

<file path=xl/sharedStrings.xml><?xml version="1.0" encoding="utf-8"?>
<sst xmlns="http://schemas.openxmlformats.org/spreadsheetml/2006/main" count="2536" uniqueCount="153">
  <si>
    <t>Sunday before Thanksgiving</t>
  </si>
  <si>
    <t>Sunday after Thanksgiving</t>
  </si>
  <si>
    <t>PM: Christmas Eve</t>
  </si>
  <si>
    <t>Easter</t>
  </si>
  <si>
    <t>Critical mass? (Drums, Bass, Lead)</t>
  </si>
  <si>
    <t>NO SERVICE (SNOW)</t>
  </si>
  <si>
    <t>Instruments / Role</t>
  </si>
  <si>
    <t>First Name</t>
  </si>
  <si>
    <t>Last Name</t>
  </si>
  <si>
    <t>2nd Sun</t>
  </si>
  <si>
    <t>3rd Sun
Funeral on Sat 9/17</t>
  </si>
  <si>
    <t>4th Sun</t>
  </si>
  <si>
    <t>1st Sun
Communion</t>
  </si>
  <si>
    <t>3rd Sun
CC fall break</t>
  </si>
  <si>
    <t>5th Sun
Reformation Sunday</t>
  </si>
  <si>
    <t>3rd Sun</t>
  </si>
  <si>
    <t>4th Sun
Thanksgiving Sunday
1st Sun Advent</t>
  </si>
  <si>
    <t>1st Sun
Communion
2nd Sun Advent</t>
  </si>
  <si>
    <t>2nd Sun
3rd Sun Advent</t>
  </si>
  <si>
    <t>3rd Sun
4th Sun Advent</t>
  </si>
  <si>
    <t>4th Sunday
Christmas Day</t>
  </si>
  <si>
    <t>1st Sunday
New Year's Day</t>
  </si>
  <si>
    <t>2nd Sunday
Communion</t>
  </si>
  <si>
    <t>3rd Sunday</t>
  </si>
  <si>
    <t>4th Sunday
Tobin on drums</t>
  </si>
  <si>
    <t>5th Sunday</t>
  </si>
  <si>
    <t xml:space="preserve">1st Sunday
Communion
</t>
  </si>
  <si>
    <t>2nd Sunday</t>
  </si>
  <si>
    <t>1st Sunday
Communion</t>
  </si>
  <si>
    <r>
      <rPr>
        <rFont val="Arial"/>
        <color theme="1"/>
      </rPr>
      <t xml:space="preserve">2nd Sunday
</t>
    </r>
    <r>
      <rPr>
        <rFont val="Arial"/>
        <b/>
        <color theme="1"/>
      </rPr>
      <t>EASTER SUNDAY</t>
    </r>
  </si>
  <si>
    <t xml:space="preserve">2nd Sunday
</t>
  </si>
  <si>
    <t xml:space="preserve">4th Sunday
</t>
  </si>
  <si>
    <t>Palm Sunday</t>
  </si>
  <si>
    <t>Easter Sunday</t>
  </si>
  <si>
    <t>Jennifer Daniels leading</t>
  </si>
  <si>
    <t>J. leading</t>
  </si>
  <si>
    <t>PM - Christmas Party</t>
  </si>
  <si>
    <t>PM - Christmas Eve Service</t>
  </si>
  <si>
    <t>Communion</t>
  </si>
  <si>
    <t>Good Friday PM</t>
  </si>
  <si>
    <t>Acoustic guitar, keyboard, drums, vocals, bass</t>
  </si>
  <si>
    <t>Brad</t>
  </si>
  <si>
    <t>Keys</t>
  </si>
  <si>
    <t>Gone</t>
  </si>
  <si>
    <t>Bass</t>
  </si>
  <si>
    <t>Drums</t>
  </si>
  <si>
    <t>Josh</t>
  </si>
  <si>
    <t>Unavailable</t>
  </si>
  <si>
    <t>Drums (last minute)</t>
  </si>
  <si>
    <t>Drums - but I'm pretty sure I'm out of town this weekend</t>
  </si>
  <si>
    <t>Unavilable</t>
  </si>
  <si>
    <t>Morning &amp; Evening</t>
  </si>
  <si>
    <t>Jess in nursery</t>
  </si>
  <si>
    <t>Acoustic guitar</t>
  </si>
  <si>
    <t>Joel</t>
  </si>
  <si>
    <t>Acoustic</t>
  </si>
  <si>
    <t>gone</t>
  </si>
  <si>
    <t>Guitar</t>
  </si>
  <si>
    <t>Lead</t>
  </si>
  <si>
    <t>Leader, guitar, vocals</t>
  </si>
  <si>
    <t>Matt</t>
  </si>
  <si>
    <t>Leading - guitar</t>
  </si>
  <si>
    <t>Vocals</t>
  </si>
  <si>
    <t>Lisa</t>
  </si>
  <si>
    <t xml:space="preserve">Vocals (Leah sick) </t>
  </si>
  <si>
    <t>Hammer dulcimer</t>
  </si>
  <si>
    <t>Hannah</t>
  </si>
  <si>
    <t>Dulcimer</t>
  </si>
  <si>
    <t>dulcimer</t>
  </si>
  <si>
    <t xml:space="preserve">Tobin </t>
  </si>
  <si>
    <t>drums</t>
  </si>
  <si>
    <t>Henry</t>
  </si>
  <si>
    <t>Dave</t>
  </si>
  <si>
    <t>Here</t>
  </si>
  <si>
    <t>In nursery</t>
  </si>
  <si>
    <t xml:space="preserve">Unavailable </t>
  </si>
  <si>
    <t xml:space="preserve">Available </t>
  </si>
  <si>
    <t>Nursery</t>
  </si>
  <si>
    <t xml:space="preserve">Nursery </t>
  </si>
  <si>
    <t>Leader, bass, drums, acoustic guitar, keyboard, vocals</t>
  </si>
  <si>
    <t>John Michael</t>
  </si>
  <si>
    <t>Ben</t>
  </si>
  <si>
    <t>Electric guitar</t>
  </si>
  <si>
    <t>Scott</t>
  </si>
  <si>
    <t>Electric</t>
  </si>
  <si>
    <t>Gone?</t>
  </si>
  <si>
    <t>Jacques</t>
  </si>
  <si>
    <t>Leah</t>
  </si>
  <si>
    <t>Available</t>
  </si>
  <si>
    <t>Sick</t>
  </si>
  <si>
    <t>Violin, vocals</t>
  </si>
  <si>
    <t>Maggie</t>
  </si>
  <si>
    <t>Violin</t>
  </si>
  <si>
    <t>Cello</t>
  </si>
  <si>
    <t>Tentative</t>
  </si>
  <si>
    <t xml:space="preserve">Maybe </t>
  </si>
  <si>
    <t>Nursery duty</t>
  </si>
  <si>
    <t>In the nursery</t>
  </si>
  <si>
    <t>Maybe</t>
  </si>
  <si>
    <t>Jenn Daniels</t>
  </si>
  <si>
    <t>Leader, mando*, vocals</t>
  </si>
  <si>
    <t>J.</t>
  </si>
  <si>
    <t>Mando</t>
  </si>
  <si>
    <t>Leading - Mandocello</t>
  </si>
  <si>
    <t>Leader</t>
  </si>
  <si>
    <t>Lula</t>
  </si>
  <si>
    <t>Lead (tentative)</t>
  </si>
  <si>
    <t>Vocals, Sound</t>
  </si>
  <si>
    <t>Miller</t>
  </si>
  <si>
    <t>Bass?</t>
  </si>
  <si>
    <t>Sound</t>
  </si>
  <si>
    <t>Sophie</t>
  </si>
  <si>
    <t>Tamale</t>
  </si>
  <si>
    <t>Bella</t>
  </si>
  <si>
    <t>Sound tech team</t>
  </si>
  <si>
    <t>John Marshall "Migs"</t>
  </si>
  <si>
    <t>Mandolin</t>
  </si>
  <si>
    <t xml:space="preserve"> </t>
  </si>
  <si>
    <t>John</t>
  </si>
  <si>
    <t>Sound tech</t>
  </si>
  <si>
    <t>Sound Tech</t>
  </si>
  <si>
    <t xml:space="preserve">Sound Tech </t>
  </si>
  <si>
    <t xml:space="preserve">Sound </t>
  </si>
  <si>
    <t>Stephen</t>
  </si>
  <si>
    <t>Sound, violin, Mandolin</t>
  </si>
  <si>
    <t>Elijah</t>
  </si>
  <si>
    <t>Violin/Mandolin</t>
  </si>
  <si>
    <t xml:space="preserve"> Violin/mandolin</t>
  </si>
  <si>
    <t>Violin/mandolin</t>
  </si>
  <si>
    <t>sound</t>
  </si>
  <si>
    <t>Violin/Manodlin</t>
  </si>
  <si>
    <t>Violine/mandolin</t>
  </si>
  <si>
    <t>Jonah</t>
  </si>
  <si>
    <t>Wyatt</t>
  </si>
  <si>
    <t>Teagen</t>
  </si>
  <si>
    <t>Finn</t>
  </si>
  <si>
    <t>Sauvageu</t>
  </si>
  <si>
    <t xml:space="preserve">Maggie </t>
  </si>
  <si>
    <t>Fiddle</t>
  </si>
  <si>
    <t>Phone number list aggregate &gt;</t>
  </si>
  <si>
    <t>Month 1</t>
  </si>
  <si>
    <t>Month 2</t>
  </si>
  <si>
    <t>1st Sunday</t>
  </si>
  <si>
    <t>4th Sunday</t>
  </si>
  <si>
    <t>JM M</t>
  </si>
  <si>
    <t>Josh Barrett</t>
  </si>
  <si>
    <t>Brad A</t>
  </si>
  <si>
    <t>Dave Connis</t>
  </si>
  <si>
    <t>Miller B</t>
  </si>
  <si>
    <t>Brad Assaraf</t>
  </si>
  <si>
    <t>Dave C</t>
  </si>
  <si>
    <t>John S</t>
  </si>
  <si>
    <t>Jacques 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</si>
</sst>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980000"/>
      <name val="Arial"/>
      <scheme val="minor"/>
    </font>
    <font/>
  </fonts>
  <fills count="10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F4C7C3"/>
        <bgColor rgb="FFF4C7C3"/>
      </patternFill>
    </fill>
    <fill>
      <patternFill patternType="solid">
        <fgColor rgb="FFFFF2CC"/>
        <bgColor rgb="FFFFF2CC"/>
      </patternFill>
    </fill>
    <fill>
      <patternFill patternType="solid">
        <fgColor rgb="FFDD7E6B"/>
        <bgColor rgb="FFDD7E6B"/>
      </patternFill>
    </fill>
    <fill>
      <patternFill patternType="solid">
        <fgColor rgb="FFEA9999"/>
        <bgColor rgb="FFEA9999"/>
      </patternFill>
    </fill>
    <fill>
      <patternFill patternType="solid">
        <fgColor rgb="FFE6B8AF"/>
        <bgColor rgb="FFE6B8AF"/>
      </patternFill>
    </fill>
  </fills>
  <borders count="12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3" fillId="0" fontId="2" numFmtId="0" xfId="0" applyAlignment="1" applyBorder="1" applyFont="1">
      <alignment shrinkToFit="0" vertical="top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1" fillId="0" fontId="1" numFmtId="164" xfId="0" applyAlignment="1" applyBorder="1" applyFont="1" applyNumberFormat="1">
      <alignment readingOrder="0" shrinkToFit="0" vertical="top" wrapText="1"/>
    </xf>
    <xf borderId="2" fillId="0" fontId="1" numFmtId="164" xfId="0" applyAlignment="1" applyBorder="1" applyFont="1" applyNumberFormat="1">
      <alignment readingOrder="0" shrinkToFit="0" vertical="top" wrapText="1"/>
    </xf>
    <xf borderId="3" fillId="0" fontId="1" numFmtId="164" xfId="0" applyAlignment="1" applyBorder="1" applyFont="1" applyNumberFormat="1">
      <alignment readingOrder="0" shrinkToFit="0" vertical="top" wrapText="1"/>
    </xf>
    <xf borderId="0" fillId="0" fontId="1" numFmtId="164" xfId="0" applyAlignment="1" applyFont="1" applyNumberFormat="1">
      <alignment readingOrder="0" shrinkToFit="0" vertical="top" wrapText="1"/>
    </xf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readingOrder="0" shrinkToFit="0" vertical="top" wrapText="1"/>
    </xf>
    <xf borderId="3" fillId="0" fontId="2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4" fillId="0" fontId="2" numFmtId="0" xfId="0" applyAlignment="1" applyBorder="1" applyFont="1">
      <alignment readingOrder="0" shrinkToFit="0" vertical="top" wrapText="1"/>
    </xf>
    <xf borderId="5" fillId="0" fontId="2" numFmtId="0" xfId="0" applyAlignment="1" applyBorder="1" applyFont="1">
      <alignment readingOrder="0" shrinkToFit="0" wrapText="1"/>
    </xf>
    <xf borderId="6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readingOrder="0" shrinkToFit="0" vertical="top" wrapText="1"/>
    </xf>
    <xf borderId="8" fillId="0" fontId="2" numFmtId="0" xfId="0" applyAlignment="1" applyBorder="1" applyFont="1">
      <alignment readingOrder="0" shrinkToFit="0" vertical="top" wrapText="1"/>
    </xf>
    <xf borderId="6" fillId="0" fontId="2" numFmtId="0" xfId="0" applyAlignment="1" applyBorder="1" applyFont="1">
      <alignment readingOrder="0" shrinkToFit="0" vertical="top" wrapText="1"/>
    </xf>
    <xf borderId="5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readingOrder="0" shrinkToFit="0" vertical="top" wrapText="1"/>
    </xf>
    <xf borderId="7" fillId="0" fontId="2" numFmtId="0" xfId="0" applyAlignment="1" applyBorder="1" applyFont="1">
      <alignment readingOrder="0" shrinkToFit="0" wrapText="1"/>
    </xf>
    <xf borderId="8" fillId="0" fontId="2" numFmtId="0" xfId="0" applyAlignment="1" applyBorder="1" applyFont="1">
      <alignment shrinkToFit="0" vertical="top" wrapText="1"/>
    </xf>
    <xf borderId="5" fillId="2" fontId="2" numFmtId="0" xfId="0" applyAlignment="1" applyBorder="1" applyFill="1" applyFont="1">
      <alignment readingOrder="0" shrinkToFit="0" wrapText="1"/>
    </xf>
    <xf borderId="6" fillId="0" fontId="2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readingOrder="0" shrinkToFit="0" vertical="top" wrapText="1"/>
    </xf>
    <xf borderId="8" fillId="0" fontId="2" numFmtId="0" xfId="0" applyAlignment="1" applyBorder="1" applyFont="1">
      <alignment readingOrder="0" shrinkToFit="0" wrapText="1"/>
    </xf>
    <xf borderId="8" fillId="0" fontId="2" numFmtId="0" xfId="0" applyAlignment="1" applyBorder="1" applyFont="1">
      <alignment shrinkToFit="0" wrapText="1"/>
    </xf>
    <xf borderId="6" fillId="0" fontId="2" numFmtId="0" xfId="0" applyAlignment="1" applyBorder="1" applyFont="1">
      <alignment shrinkToFit="0" vertical="top" wrapText="1"/>
    </xf>
    <xf borderId="5" fillId="3" fontId="2" numFmtId="0" xfId="0" applyAlignment="1" applyBorder="1" applyFill="1" applyFont="1">
      <alignment readingOrder="0" shrinkToFit="0" wrapText="1"/>
    </xf>
    <xf borderId="5" fillId="4" fontId="2" numFmtId="0" xfId="0" applyAlignment="1" applyBorder="1" applyFill="1" applyFont="1">
      <alignment readingOrder="0" shrinkToFit="0" wrapText="1"/>
    </xf>
    <xf borderId="5" fillId="5" fontId="2" numFmtId="0" xfId="0" applyAlignment="1" applyBorder="1" applyFill="1" applyFont="1">
      <alignment readingOrder="0" shrinkToFit="0" wrapText="1"/>
    </xf>
    <xf borderId="5" fillId="4" fontId="4" numFmtId="0" xfId="0" applyAlignment="1" applyBorder="1" applyFont="1">
      <alignment readingOrder="0" shrinkToFit="0" wrapText="1"/>
    </xf>
    <xf borderId="7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9" fillId="0" fontId="2" numFmtId="0" xfId="0" applyAlignment="1" applyBorder="1" applyFont="1">
      <alignment shrinkToFit="0" wrapText="1"/>
    </xf>
    <xf borderId="10" fillId="0" fontId="2" numFmtId="0" xfId="0" applyAlignment="1" applyBorder="1" applyFont="1">
      <alignment shrinkToFit="0" wrapText="1"/>
    </xf>
    <xf borderId="6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shrinkToFit="0" vertical="top" wrapText="1"/>
    </xf>
    <xf borderId="5" fillId="6" fontId="2" numFmtId="0" xfId="0" applyAlignment="1" applyBorder="1" applyFill="1" applyFont="1">
      <alignment readingOrder="0" shrinkToFit="0" wrapText="1"/>
    </xf>
    <xf borderId="5" fillId="7" fontId="2" numFmtId="0" xfId="0" applyAlignment="1" applyBorder="1" applyFill="1" applyFont="1">
      <alignment readingOrder="0" shrinkToFit="0" wrapText="1"/>
    </xf>
    <xf borderId="5" fillId="8" fontId="2" numFmtId="0" xfId="0" applyAlignment="1" applyBorder="1" applyFill="1" applyFont="1">
      <alignment readingOrder="0" shrinkToFit="0" wrapText="1"/>
    </xf>
    <xf borderId="5" fillId="9" fontId="2" numFmtId="0" xfId="0" applyAlignment="1" applyBorder="1" applyFill="1" applyFont="1">
      <alignment readingOrder="0" shrinkToFit="0" wrapText="1"/>
    </xf>
    <xf borderId="6" fillId="0" fontId="2" numFmtId="0" xfId="0" applyAlignment="1" applyBorder="1" applyFont="1">
      <alignment shrinkToFit="0" wrapText="1"/>
    </xf>
    <xf borderId="9" fillId="0" fontId="2" numFmtId="0" xfId="0" applyAlignment="1" applyBorder="1" applyFont="1">
      <alignment horizontal="center" readingOrder="0" shrinkToFit="0" vertical="center" wrapText="1"/>
    </xf>
    <xf borderId="3" fillId="0" fontId="5" numFmtId="0" xfId="0" applyBorder="1" applyFont="1"/>
    <xf borderId="3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1" fillId="0" fontId="5" numFmtId="0" xfId="0" applyBorder="1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7">
    <dxf>
      <font>
        <b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>
        <color rgb="FF000000"/>
      </font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5" width="11.75"/>
    <col customWidth="1" hidden="1" min="6" max="208" width="11.75"/>
    <col customWidth="1" min="209" max="228" width="11.75"/>
  </cols>
  <sheetData>
    <row r="1">
      <c r="A1" s="1"/>
      <c r="B1" s="2"/>
      <c r="C1" s="2"/>
      <c r="D1" s="3"/>
      <c r="E1" s="4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4" t="s">
        <v>0</v>
      </c>
      <c r="DR1" s="4" t="s">
        <v>1</v>
      </c>
      <c r="DS1" s="3"/>
      <c r="DT1" s="3"/>
      <c r="DU1" s="3"/>
      <c r="DV1" s="4" t="s">
        <v>2</v>
      </c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4" t="s">
        <v>3</v>
      </c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</row>
    <row r="2">
      <c r="A2" s="8"/>
      <c r="B2" s="9"/>
      <c r="C2" s="3"/>
      <c r="D2" s="3"/>
      <c r="E2" s="2"/>
      <c r="F2" s="10">
        <v>44815.0</v>
      </c>
      <c r="G2" s="11">
        <v>44822.0</v>
      </c>
      <c r="H2" s="11">
        <v>44829.0</v>
      </c>
      <c r="I2" s="11">
        <v>44836.0</v>
      </c>
      <c r="J2" s="11">
        <v>44843.0</v>
      </c>
      <c r="K2" s="11">
        <v>44850.0</v>
      </c>
      <c r="L2" s="11">
        <v>44857.0</v>
      </c>
      <c r="M2" s="11">
        <v>44864.0</v>
      </c>
      <c r="N2" s="11">
        <v>44871.0</v>
      </c>
      <c r="O2" s="11">
        <v>44878.0</v>
      </c>
      <c r="P2" s="11">
        <v>44885.0</v>
      </c>
      <c r="Q2" s="11">
        <v>44892.0</v>
      </c>
      <c r="R2" s="12">
        <v>44899.0</v>
      </c>
      <c r="S2" s="13">
        <v>44906.0</v>
      </c>
      <c r="T2" s="13">
        <v>44913.0</v>
      </c>
      <c r="U2" s="13">
        <v>44920.0</v>
      </c>
      <c r="V2" s="13">
        <v>44927.0</v>
      </c>
      <c r="W2" s="13">
        <v>44934.0</v>
      </c>
      <c r="X2" s="13">
        <v>44941.0</v>
      </c>
      <c r="Y2" s="13">
        <v>44948.0</v>
      </c>
      <c r="Z2" s="13">
        <v>44955.0</v>
      </c>
      <c r="AA2" s="13">
        <v>44962.0</v>
      </c>
      <c r="AB2" s="13">
        <v>44969.0</v>
      </c>
      <c r="AC2" s="13">
        <v>44976.0</v>
      </c>
      <c r="AD2" s="13">
        <v>44983.0</v>
      </c>
      <c r="AE2" s="13">
        <v>44990.0</v>
      </c>
      <c r="AF2" s="13">
        <v>44997.0</v>
      </c>
      <c r="AG2" s="13">
        <v>45004.0</v>
      </c>
      <c r="AH2" s="13">
        <v>45011.0</v>
      </c>
      <c r="AI2" s="13">
        <v>45018.0</v>
      </c>
      <c r="AJ2" s="13">
        <v>45025.0</v>
      </c>
      <c r="AK2" s="13">
        <v>45032.0</v>
      </c>
      <c r="AL2" s="13">
        <v>45039.0</v>
      </c>
      <c r="AM2" s="13">
        <v>45046.0</v>
      </c>
      <c r="AN2" s="13">
        <v>45053.0</v>
      </c>
      <c r="AO2" s="13">
        <v>45060.0</v>
      </c>
      <c r="AP2" s="13">
        <v>45067.0</v>
      </c>
      <c r="AQ2" s="13">
        <v>45074.0</v>
      </c>
      <c r="AR2" s="13">
        <v>45081.0</v>
      </c>
      <c r="AS2" s="13">
        <v>45088.0</v>
      </c>
      <c r="AT2" s="13">
        <v>45095.0</v>
      </c>
      <c r="AU2" s="13">
        <v>45102.0</v>
      </c>
      <c r="AV2" s="13">
        <v>45109.0</v>
      </c>
      <c r="AW2" s="13">
        <v>45116.0</v>
      </c>
      <c r="AX2" s="13">
        <v>45123.0</v>
      </c>
      <c r="AY2" s="13">
        <v>45130.0</v>
      </c>
      <c r="AZ2" s="13">
        <v>45137.0</v>
      </c>
      <c r="BA2" s="13">
        <v>45144.0</v>
      </c>
      <c r="BB2" s="13">
        <v>45151.0</v>
      </c>
      <c r="BC2" s="13">
        <v>45158.0</v>
      </c>
      <c r="BD2" s="13">
        <v>45165.0</v>
      </c>
      <c r="BE2" s="13">
        <v>45172.0</v>
      </c>
      <c r="BF2" s="13">
        <v>45179.0</v>
      </c>
      <c r="BG2" s="13">
        <v>45186.0</v>
      </c>
      <c r="BH2" s="13">
        <v>45193.0</v>
      </c>
      <c r="BI2" s="13">
        <v>45200.0</v>
      </c>
      <c r="BJ2" s="13">
        <v>45207.0</v>
      </c>
      <c r="BK2" s="13">
        <v>45214.0</v>
      </c>
      <c r="BL2" s="13">
        <v>45221.0</v>
      </c>
      <c r="BM2" s="13">
        <v>45228.0</v>
      </c>
      <c r="BN2" s="13">
        <v>45235.0</v>
      </c>
      <c r="BO2" s="13">
        <v>45242.0</v>
      </c>
      <c r="BP2" s="13">
        <v>45249.0</v>
      </c>
      <c r="BQ2" s="13">
        <f t="shared" ref="BQ2:DU2" si="1">BP2+7</f>
        <v>45256</v>
      </c>
      <c r="BR2" s="13">
        <f t="shared" si="1"/>
        <v>45263</v>
      </c>
      <c r="BS2" s="13">
        <f t="shared" si="1"/>
        <v>45270</v>
      </c>
      <c r="BT2" s="13">
        <f t="shared" si="1"/>
        <v>45277</v>
      </c>
      <c r="BU2" s="13">
        <f t="shared" si="1"/>
        <v>45284</v>
      </c>
      <c r="BV2" s="13">
        <f t="shared" si="1"/>
        <v>45291</v>
      </c>
      <c r="BW2" s="13">
        <f t="shared" si="1"/>
        <v>45298</v>
      </c>
      <c r="BX2" s="13">
        <f t="shared" si="1"/>
        <v>45305</v>
      </c>
      <c r="BY2" s="13">
        <f t="shared" si="1"/>
        <v>45312</v>
      </c>
      <c r="BZ2" s="13">
        <f t="shared" si="1"/>
        <v>45319</v>
      </c>
      <c r="CA2" s="13">
        <f t="shared" si="1"/>
        <v>45326</v>
      </c>
      <c r="CB2" s="13">
        <f t="shared" si="1"/>
        <v>45333</v>
      </c>
      <c r="CC2" s="13">
        <f t="shared" si="1"/>
        <v>45340</v>
      </c>
      <c r="CD2" s="13">
        <f t="shared" si="1"/>
        <v>45347</v>
      </c>
      <c r="CE2" s="13">
        <f t="shared" si="1"/>
        <v>45354</v>
      </c>
      <c r="CF2" s="13">
        <f t="shared" si="1"/>
        <v>45361</v>
      </c>
      <c r="CG2" s="13">
        <f t="shared" si="1"/>
        <v>45368</v>
      </c>
      <c r="CH2" s="13">
        <f t="shared" si="1"/>
        <v>45375</v>
      </c>
      <c r="CI2" s="13">
        <f t="shared" si="1"/>
        <v>45382</v>
      </c>
      <c r="CJ2" s="13">
        <f t="shared" si="1"/>
        <v>45389</v>
      </c>
      <c r="CK2" s="13">
        <f t="shared" si="1"/>
        <v>45396</v>
      </c>
      <c r="CL2" s="13">
        <f t="shared" si="1"/>
        <v>45403</v>
      </c>
      <c r="CM2" s="13">
        <f t="shared" si="1"/>
        <v>45410</v>
      </c>
      <c r="CN2" s="13">
        <f t="shared" si="1"/>
        <v>45417</v>
      </c>
      <c r="CO2" s="13">
        <f t="shared" si="1"/>
        <v>45424</v>
      </c>
      <c r="CP2" s="13">
        <f t="shared" si="1"/>
        <v>45431</v>
      </c>
      <c r="CQ2" s="13">
        <f t="shared" si="1"/>
        <v>45438</v>
      </c>
      <c r="CR2" s="13">
        <f t="shared" si="1"/>
        <v>45445</v>
      </c>
      <c r="CS2" s="13">
        <f t="shared" si="1"/>
        <v>45452</v>
      </c>
      <c r="CT2" s="13">
        <f t="shared" si="1"/>
        <v>45459</v>
      </c>
      <c r="CU2" s="13">
        <f t="shared" si="1"/>
        <v>45466</v>
      </c>
      <c r="CV2" s="13">
        <f t="shared" si="1"/>
        <v>45473</v>
      </c>
      <c r="CW2" s="13">
        <f t="shared" si="1"/>
        <v>45480</v>
      </c>
      <c r="CX2" s="13">
        <f t="shared" si="1"/>
        <v>45487</v>
      </c>
      <c r="CY2" s="13">
        <f t="shared" si="1"/>
        <v>45494</v>
      </c>
      <c r="CZ2" s="13">
        <f t="shared" si="1"/>
        <v>45501</v>
      </c>
      <c r="DA2" s="13">
        <f t="shared" si="1"/>
        <v>45508</v>
      </c>
      <c r="DB2" s="13">
        <f t="shared" si="1"/>
        <v>45515</v>
      </c>
      <c r="DC2" s="13">
        <f t="shared" si="1"/>
        <v>45522</v>
      </c>
      <c r="DD2" s="13">
        <f t="shared" si="1"/>
        <v>45529</v>
      </c>
      <c r="DE2" s="13">
        <f t="shared" si="1"/>
        <v>45536</v>
      </c>
      <c r="DF2" s="13">
        <f t="shared" si="1"/>
        <v>45543</v>
      </c>
      <c r="DG2" s="13">
        <f t="shared" si="1"/>
        <v>45550</v>
      </c>
      <c r="DH2" s="13">
        <f t="shared" si="1"/>
        <v>45557</v>
      </c>
      <c r="DI2" s="13">
        <f t="shared" si="1"/>
        <v>45564</v>
      </c>
      <c r="DJ2" s="13">
        <f t="shared" si="1"/>
        <v>45571</v>
      </c>
      <c r="DK2" s="13">
        <f t="shared" si="1"/>
        <v>45578</v>
      </c>
      <c r="DL2" s="13">
        <f t="shared" si="1"/>
        <v>45585</v>
      </c>
      <c r="DM2" s="13">
        <f t="shared" si="1"/>
        <v>45592</v>
      </c>
      <c r="DN2" s="13">
        <f t="shared" si="1"/>
        <v>45599</v>
      </c>
      <c r="DO2" s="13">
        <f t="shared" si="1"/>
        <v>45606</v>
      </c>
      <c r="DP2" s="13">
        <f t="shared" si="1"/>
        <v>45613</v>
      </c>
      <c r="DQ2" s="13">
        <f t="shared" si="1"/>
        <v>45620</v>
      </c>
      <c r="DR2" s="13">
        <f t="shared" si="1"/>
        <v>45627</v>
      </c>
      <c r="DS2" s="13">
        <f t="shared" si="1"/>
        <v>45634</v>
      </c>
      <c r="DT2" s="13">
        <f t="shared" si="1"/>
        <v>45641</v>
      </c>
      <c r="DU2" s="13">
        <f t="shared" si="1"/>
        <v>45648</v>
      </c>
      <c r="DV2" s="13">
        <v>45650.0</v>
      </c>
      <c r="DW2" s="13">
        <f>DU2+7</f>
        <v>45655</v>
      </c>
      <c r="DX2" s="13">
        <f t="shared" ref="DX2:FT2" si="2">DW2+7</f>
        <v>45662</v>
      </c>
      <c r="DY2" s="13">
        <f t="shared" si="2"/>
        <v>45669</v>
      </c>
      <c r="DZ2" s="13">
        <f t="shared" si="2"/>
        <v>45676</v>
      </c>
      <c r="EA2" s="13">
        <f t="shared" si="2"/>
        <v>45683</v>
      </c>
      <c r="EB2" s="13">
        <f t="shared" si="2"/>
        <v>45690</v>
      </c>
      <c r="EC2" s="13">
        <f t="shared" si="2"/>
        <v>45697</v>
      </c>
      <c r="ED2" s="13">
        <f t="shared" si="2"/>
        <v>45704</v>
      </c>
      <c r="EE2" s="13">
        <f t="shared" si="2"/>
        <v>45711</v>
      </c>
      <c r="EF2" s="13">
        <f t="shared" si="2"/>
        <v>45718</v>
      </c>
      <c r="EG2" s="13">
        <f t="shared" si="2"/>
        <v>45725</v>
      </c>
      <c r="EH2" s="13">
        <f t="shared" si="2"/>
        <v>45732</v>
      </c>
      <c r="EI2" s="13">
        <f t="shared" si="2"/>
        <v>45739</v>
      </c>
      <c r="EJ2" s="13">
        <f t="shared" si="2"/>
        <v>45746</v>
      </c>
      <c r="EK2" s="13">
        <f t="shared" si="2"/>
        <v>45753</v>
      </c>
      <c r="EL2" s="13">
        <f t="shared" si="2"/>
        <v>45760</v>
      </c>
      <c r="EM2" s="13">
        <f t="shared" si="2"/>
        <v>45767</v>
      </c>
      <c r="EN2" s="13">
        <f t="shared" si="2"/>
        <v>45774</v>
      </c>
      <c r="EO2" s="13">
        <f t="shared" si="2"/>
        <v>45781</v>
      </c>
      <c r="EP2" s="13">
        <f t="shared" si="2"/>
        <v>45788</v>
      </c>
      <c r="EQ2" s="13">
        <f t="shared" si="2"/>
        <v>45795</v>
      </c>
      <c r="ER2" s="13">
        <f t="shared" si="2"/>
        <v>45802</v>
      </c>
      <c r="ES2" s="13">
        <f t="shared" si="2"/>
        <v>45809</v>
      </c>
      <c r="ET2" s="13">
        <f t="shared" si="2"/>
        <v>45816</v>
      </c>
      <c r="EU2" s="13">
        <f t="shared" si="2"/>
        <v>45823</v>
      </c>
      <c r="EV2" s="13">
        <f t="shared" si="2"/>
        <v>45830</v>
      </c>
      <c r="EW2" s="13">
        <f t="shared" si="2"/>
        <v>45837</v>
      </c>
      <c r="EX2" s="13">
        <f t="shared" si="2"/>
        <v>45844</v>
      </c>
      <c r="EY2" s="13">
        <f t="shared" si="2"/>
        <v>45851</v>
      </c>
      <c r="EZ2" s="13">
        <f t="shared" si="2"/>
        <v>45858</v>
      </c>
      <c r="FA2" s="13">
        <f t="shared" si="2"/>
        <v>45865</v>
      </c>
      <c r="FB2" s="13">
        <f t="shared" si="2"/>
        <v>45872</v>
      </c>
      <c r="FC2" s="13">
        <f t="shared" si="2"/>
        <v>45879</v>
      </c>
      <c r="FD2" s="13">
        <f t="shared" si="2"/>
        <v>45886</v>
      </c>
      <c r="FE2" s="13">
        <f t="shared" si="2"/>
        <v>45893</v>
      </c>
      <c r="FF2" s="13">
        <f t="shared" si="2"/>
        <v>45900</v>
      </c>
      <c r="FG2" s="13">
        <f t="shared" si="2"/>
        <v>45907</v>
      </c>
      <c r="FH2" s="13">
        <f t="shared" si="2"/>
        <v>45914</v>
      </c>
      <c r="FI2" s="13">
        <f t="shared" si="2"/>
        <v>45921</v>
      </c>
      <c r="FJ2" s="13">
        <f t="shared" si="2"/>
        <v>45928</v>
      </c>
      <c r="FK2" s="13">
        <f t="shared" si="2"/>
        <v>45935</v>
      </c>
      <c r="FL2" s="13">
        <f t="shared" si="2"/>
        <v>45942</v>
      </c>
      <c r="FM2" s="13">
        <f t="shared" si="2"/>
        <v>45949</v>
      </c>
      <c r="FN2" s="13">
        <f t="shared" si="2"/>
        <v>45956</v>
      </c>
      <c r="FO2" s="13">
        <f t="shared" si="2"/>
        <v>45963</v>
      </c>
      <c r="FP2" s="13">
        <f t="shared" si="2"/>
        <v>45970</v>
      </c>
      <c r="FQ2" s="13">
        <f t="shared" si="2"/>
        <v>45977</v>
      </c>
      <c r="FR2" s="13">
        <f t="shared" si="2"/>
        <v>45984</v>
      </c>
      <c r="FS2" s="13">
        <f t="shared" si="2"/>
        <v>45991</v>
      </c>
      <c r="FT2" s="13">
        <f t="shared" si="2"/>
        <v>45998</v>
      </c>
      <c r="FU2" s="13">
        <v>45998.0</v>
      </c>
      <c r="FV2" s="13">
        <f>FT2+7</f>
        <v>46005</v>
      </c>
      <c r="FW2" s="13">
        <f>FV2+7</f>
        <v>46012</v>
      </c>
      <c r="FX2" s="13">
        <v>46015.0</v>
      </c>
      <c r="FY2" s="13">
        <f>FW2+7</f>
        <v>46019</v>
      </c>
      <c r="FZ2" s="13">
        <f t="shared" ref="FZ2:GL2" si="3">FY2+7</f>
        <v>46026</v>
      </c>
      <c r="GA2" s="13">
        <f t="shared" si="3"/>
        <v>46033</v>
      </c>
      <c r="GB2" s="13">
        <f t="shared" si="3"/>
        <v>46040</v>
      </c>
      <c r="GC2" s="13">
        <f t="shared" si="3"/>
        <v>46047</v>
      </c>
      <c r="GD2" s="13">
        <f t="shared" si="3"/>
        <v>46054</v>
      </c>
      <c r="GE2" s="13">
        <f t="shared" si="3"/>
        <v>46061</v>
      </c>
      <c r="GF2" s="13">
        <f t="shared" si="3"/>
        <v>46068</v>
      </c>
      <c r="GG2" s="13">
        <f t="shared" si="3"/>
        <v>46075</v>
      </c>
      <c r="GH2" s="13">
        <f t="shared" si="3"/>
        <v>46082</v>
      </c>
      <c r="GI2" s="13">
        <f t="shared" si="3"/>
        <v>46089</v>
      </c>
      <c r="GJ2" s="13">
        <f t="shared" si="3"/>
        <v>46096</v>
      </c>
      <c r="GK2" s="13">
        <f t="shared" si="3"/>
        <v>46103</v>
      </c>
      <c r="GL2" s="13">
        <f t="shared" si="3"/>
        <v>46110</v>
      </c>
      <c r="GM2" s="13">
        <v>46115.0</v>
      </c>
      <c r="GN2" s="13">
        <f>GL2+7</f>
        <v>46117</v>
      </c>
      <c r="GO2" s="13">
        <f t="shared" ref="GO2:HT2" si="4">GN2+7</f>
        <v>46124</v>
      </c>
      <c r="GP2" s="13">
        <f t="shared" si="4"/>
        <v>46131</v>
      </c>
      <c r="GQ2" s="13">
        <f t="shared" si="4"/>
        <v>46138</v>
      </c>
      <c r="GR2" s="13">
        <f t="shared" si="4"/>
        <v>46145</v>
      </c>
      <c r="GS2" s="13">
        <f t="shared" si="4"/>
        <v>46152</v>
      </c>
      <c r="GT2" s="13">
        <f t="shared" si="4"/>
        <v>46159</v>
      </c>
      <c r="GU2" s="13">
        <f t="shared" si="4"/>
        <v>46166</v>
      </c>
      <c r="GV2" s="13">
        <f t="shared" si="4"/>
        <v>46173</v>
      </c>
      <c r="GW2" s="13">
        <f t="shared" si="4"/>
        <v>46180</v>
      </c>
      <c r="GX2" s="13">
        <f t="shared" si="4"/>
        <v>46187</v>
      </c>
      <c r="GY2" s="13">
        <f t="shared" si="4"/>
        <v>46194</v>
      </c>
      <c r="GZ2" s="13">
        <f t="shared" si="4"/>
        <v>46201</v>
      </c>
      <c r="HA2" s="13">
        <f t="shared" si="4"/>
        <v>46208</v>
      </c>
      <c r="HB2" s="13">
        <f t="shared" si="4"/>
        <v>46215</v>
      </c>
      <c r="HC2" s="13">
        <f t="shared" si="4"/>
        <v>46222</v>
      </c>
      <c r="HD2" s="13">
        <f t="shared" si="4"/>
        <v>46229</v>
      </c>
      <c r="HE2" s="13">
        <f t="shared" si="4"/>
        <v>46236</v>
      </c>
      <c r="HF2" s="13">
        <f t="shared" si="4"/>
        <v>46243</v>
      </c>
      <c r="HG2" s="13">
        <f t="shared" si="4"/>
        <v>46250</v>
      </c>
      <c r="HH2" s="13">
        <f t="shared" si="4"/>
        <v>46257</v>
      </c>
      <c r="HI2" s="13">
        <f t="shared" si="4"/>
        <v>46264</v>
      </c>
      <c r="HJ2" s="13">
        <f t="shared" si="4"/>
        <v>46271</v>
      </c>
      <c r="HK2" s="13">
        <f t="shared" si="4"/>
        <v>46278</v>
      </c>
      <c r="HL2" s="13">
        <f t="shared" si="4"/>
        <v>46285</v>
      </c>
      <c r="HM2" s="13">
        <f t="shared" si="4"/>
        <v>46292</v>
      </c>
      <c r="HN2" s="13">
        <f t="shared" si="4"/>
        <v>46299</v>
      </c>
      <c r="HO2" s="13">
        <f t="shared" si="4"/>
        <v>46306</v>
      </c>
      <c r="HP2" s="13">
        <f t="shared" si="4"/>
        <v>46313</v>
      </c>
      <c r="HQ2" s="13">
        <f t="shared" si="4"/>
        <v>46320</v>
      </c>
      <c r="HR2" s="13">
        <f t="shared" si="4"/>
        <v>46327</v>
      </c>
      <c r="HS2" s="13">
        <f t="shared" si="4"/>
        <v>46334</v>
      </c>
      <c r="HT2" s="13">
        <f t="shared" si="4"/>
        <v>46341</v>
      </c>
    </row>
    <row r="3">
      <c r="A3" s="14"/>
      <c r="B3" s="2" t="s">
        <v>4</v>
      </c>
      <c r="C3" s="3"/>
      <c r="D3" s="3"/>
      <c r="E3" s="2"/>
      <c r="F3" s="1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 t="str">
        <f>IFERROR(__xludf.DUMMYFUNCTION("IF(COUNTIF(CG6:CG1011, ""*Drums*"")*COUNTIF(CG6:CG1011, ""*Bass*"")*COUNTIF(CG6:CG1011, ""*Lead*"")&gt;0, ""CRITICAL MASS"", 
JOIN("", "", 
FILTER({""NO DRUMS"", ""NO BASS"", ""NO LEAD""}, 
ISERROR(SEARCH({""Drums"", ""Bass"", ""Lead""}, JOIN("" "", FILTER(C"&amp;"G6:CG1011, CG6:CG1011&lt;&gt;"""")))))))
"),"CRITICAL MASS")</f>
        <v>CRITICAL MASS</v>
      </c>
      <c r="CH3" s="3" t="str">
        <f>IFERROR(__xludf.DUMMYFUNCTION("IF(COUNTIF(CH6:CH1011, ""*Drums*"")*COUNTIF(CH6:CH1011, ""*Bass*"")*COUNTIF(CH6:CH1011, ""*Lead*"")&gt;0, ""CRITICAL MASS"", 
JOIN("", "", 
FILTER({""NO DRUMS"", ""NO BASS"", ""NO LEAD""}, 
ISERROR(SEARCH({""Drums"", ""Bass"", ""Lead""}, JOIN("" "", FILTER(C"&amp;"H6:CH1011, CH6:CH1011&lt;&gt;"""")))))))
"),"CRITICAL MASS")</f>
        <v>CRITICAL MASS</v>
      </c>
      <c r="CI3" s="3" t="str">
        <f>IFERROR(__xludf.DUMMYFUNCTION("IF(COUNTIF(CI6:CI1011, ""*Drums*"")*COUNTIF(CI6:CI1011, ""*Bass*"")*COUNTIF(CI6:CI1011, ""*Lead*"")&gt;0, ""CRITICAL MASS"", 
JOIN("", "", 
FILTER({""NO DRUMS"", ""NO BASS"", ""NO LEAD""}, 
ISERROR(SEARCH({""Drums"", ""Bass"", ""Lead""}, JOIN("" "", FILTER(C"&amp;"I6:CI1011, CI6:CI1011&lt;&gt;"""")))))))
"),"CRITICAL MASS")</f>
        <v>CRITICAL MASS</v>
      </c>
      <c r="CJ3" s="3" t="str">
        <f>IFERROR(__xludf.DUMMYFUNCTION("IF(COUNTIF(CJ6:CJ1011, ""*Drums*"")*COUNTIF(CJ6:CJ1011, ""*Bass*"")*COUNTIF(CJ6:CJ1011, ""*Lead*"")&gt;0, ""CRITICAL MASS"", 
JOIN("", "", 
FILTER({""NO DRUMS"", ""NO BASS"", ""NO LEAD""}, 
ISERROR(SEARCH({""Drums"", ""Bass"", ""Lead""}, JOIN("" "", FILTER(C"&amp;"J6:CJ1011, CJ6:CJ1011&lt;&gt;"""")))))))
"),"NO LEAD")</f>
        <v>NO LEAD</v>
      </c>
      <c r="CK3" s="3" t="str">
        <f>IFERROR(__xludf.DUMMYFUNCTION("IF(COUNTIF(CK6:CK1011, ""*Drums*"")*COUNTIF(CK6:CK1011, ""*Bass*"")*COUNTIF(CK6:CK1011, ""*Lead*"")&gt;0, ""CRITICAL MASS"", 
JOIN("", "", 
FILTER({""NO DRUMS"", ""NO BASS"", ""NO LEAD""}, 
ISERROR(SEARCH({""Drums"", ""Bass"", ""Lead""}, JOIN("" "", FILTER(C"&amp;"K6:CK1011, CK6:CK1011&lt;&gt;"""")))))))
"),"NO DRUMS")</f>
        <v>NO DRUMS</v>
      </c>
      <c r="CL3" s="3" t="str">
        <f>IFERROR(__xludf.DUMMYFUNCTION("IF(COUNTIF(CL6:CL1011, ""*Drums*"")*COUNTIF(CL6:CL1011, ""*Bass*"")*COUNTIF(CL6:CL1011, ""*Lead*"")&gt;0, ""CRITICAL MASS"", 
JOIN("", "", 
FILTER({""NO DRUMS"", ""NO BASS"", ""NO LEAD""}, 
ISERROR(SEARCH({""Drums"", ""Bass"", ""Lead""}, JOIN("" "", FILTER(C"&amp;"L6:CL1011, CL6:CL1011&lt;&gt;"""")))))))
"),"CRITICAL MASS")</f>
        <v>CRITICAL MASS</v>
      </c>
      <c r="CM3" s="3" t="str">
        <f>IFERROR(__xludf.DUMMYFUNCTION("IF(COUNTIF(CM6:CM1011, ""*Drums*"")*COUNTIF(CM6:CM1011, ""*Bass*"")*COUNTIF(CM6:CM1011, ""*Lead*"")&gt;0, ""CRITICAL MASS"", 
JOIN("", "", 
FILTER({""NO DRUMS"", ""NO BASS"", ""NO LEAD""}, 
ISERROR(SEARCH({""Drums"", ""Bass"", ""Lead""}, JOIN("" "", FILTER(C"&amp;"M6:CM1011, CM6:CM1011&lt;&gt;"""")))))))
"),"CRITICAL MASS")</f>
        <v>CRITICAL MASS</v>
      </c>
      <c r="CN3" s="3" t="str">
        <f>IFERROR(__xludf.DUMMYFUNCTION("IF(COUNTIF(CN6:CN1011, ""*Drums*"")*COUNTIF(CN6:CN1011, ""*Bass*"")*COUNTIF(CN6:CN1011, ""*Lead*"")&gt;0, ""CRITICAL MASS"", 
JOIN("", "", 
FILTER({""NO DRUMS"", ""NO BASS"", ""NO LEAD""}, 
ISERROR(SEARCH({""Drums"", ""Bass"", ""Lead""}, JOIN("" "", FILTER(C"&amp;"N6:CN1011, CN6:CN1011&lt;&gt;"""")))))))
"),"CRITICAL MASS")</f>
        <v>CRITICAL MASS</v>
      </c>
      <c r="CO3" s="3" t="str">
        <f>IFERROR(__xludf.DUMMYFUNCTION("IF(COUNTIF(CO6:CO1011, ""*Drums*"")*COUNTIF(CO6:CO1011, ""*Bass*"")*COUNTIF(CO6:CO1011, ""*Lead*"")&gt;0, ""CRITICAL MASS"", 
JOIN("", "", 
FILTER({""NO DRUMS"", ""NO BASS"", ""NO LEAD""}, 
ISERROR(SEARCH({""Drums"", ""Bass"", ""Lead""}, JOIN("" "", FILTER(C"&amp;"O6:CO1011, CO6:CO1011&lt;&gt;"""")))))))
"),"CRITICAL MASS")</f>
        <v>CRITICAL MASS</v>
      </c>
      <c r="CP3" s="3" t="str">
        <f>IFERROR(__xludf.DUMMYFUNCTION("IF(COUNTIF(CP6:CP1011, ""*Drums*"")*COUNTIF(CP6:CP1011, ""*Bass*"")*COUNTIF(CP6:CP1011, ""*Lead*"")&gt;0, ""CRITICAL MASS"", 
JOIN("", "", 
FILTER({""NO DRUMS"", ""NO BASS"", ""NO LEAD""}, 
ISERROR(SEARCH({""Drums"", ""Bass"", ""Lead""}, JOIN("" "", FILTER(C"&amp;"P6:CP1011, CP6:CP1011&lt;&gt;"""")))))))
"),"CRITICAL MASS")</f>
        <v>CRITICAL MASS</v>
      </c>
      <c r="CQ3" s="3" t="str">
        <f>IFERROR(__xludf.DUMMYFUNCTION("IF(COUNTIF(CQ6:CQ1011, ""*Drums*"")*COUNTIF(CQ6:CQ1011, ""*Bass*"")*COUNTIF(CQ6:CQ1011, ""*Lead*"")&gt;0, ""CRITICAL MASS"", 
JOIN("", "", 
FILTER({""NO DRUMS"", ""NO BASS"", ""NO LEAD""}, 
ISERROR(SEARCH({""Drums"", ""Bass"", ""Lead""}, JOIN("" "", FILTER(C"&amp;"Q6:CQ1011, CQ6:CQ1011&lt;&gt;"""")))))))
"),"CRITICAL MASS")</f>
        <v>CRITICAL MASS</v>
      </c>
      <c r="CR3" s="3" t="str">
        <f>IFERROR(__xludf.DUMMYFUNCTION("IF(COUNTIF(CR6:CR1011, ""*Drums*"")*COUNTIF(CR6:CR1011, ""*Bass*"")*COUNTIF(CR6:CR1011, ""*Lead*"")&gt;0, ""CRITICAL MASS"", 
JOIN("", "", 
FILTER({""NO DRUMS"", ""NO BASS"", ""NO LEAD""}, 
ISERROR(SEARCH({""Drums"", ""Bass"", ""Lead""}, JOIN("" "", FILTER(C"&amp;"R6:CR1011, CR6:CR1011&lt;&gt;"""")))))))
"),"CRITICAL MASS")</f>
        <v>CRITICAL MASS</v>
      </c>
      <c r="CS3" s="3" t="str">
        <f>IFERROR(__xludf.DUMMYFUNCTION("IF(COUNTIF(CS6:CS1011, ""*Drums*"")*COUNTIF(CS6:CS1011, ""*Bass*"")*COUNTIF(CS6:CS1011, ""*Lead*"")&gt;0, ""CRITICAL MASS"", 
JOIN("", "", 
FILTER({""NO DRUMS"", ""NO BASS"", ""NO LEAD""}, 
ISERROR(SEARCH({""Drums"", ""Bass"", ""Lead""}, JOIN("" "", FILTER(C"&amp;"S6:CS1011, CS6:CS1011&lt;&gt;"""")))))))
"),"CRITICAL MASS")</f>
        <v>CRITICAL MASS</v>
      </c>
      <c r="CT3" s="3" t="str">
        <f>IFERROR(__xludf.DUMMYFUNCTION("IF(COUNTIF(CT6:CT1011, ""*Drums*"")*COUNTIF(CT6:CT1011, ""*Bass*"")*COUNTIF(CT6:CT1011, ""*Lead*"")&gt;0, ""CRITICAL MASS"", 
JOIN("", "", 
FILTER({""NO DRUMS"", ""NO BASS"", ""NO LEAD""}, 
ISERROR(SEARCH({""Drums"", ""Bass"", ""Lead""}, JOIN("" "", FILTER(C"&amp;"T6:CT1011, CT6:CT1011&lt;&gt;"""")))))))
"),"CRITICAL MASS")</f>
        <v>CRITICAL MASS</v>
      </c>
      <c r="CU3" s="3" t="str">
        <f>IFERROR(__xludf.DUMMYFUNCTION("IF(COUNTIF(CU6:CU1011, ""*Drums*"")*COUNTIF(CU6:CU1011, ""*Bass*"")*COUNTIF(CU6:CU1011, ""*Lead*"")&gt;0, ""CRITICAL MASS"", 
JOIN("", "", 
FILTER({""NO DRUMS"", ""NO BASS"", ""NO LEAD""}, 
ISERROR(SEARCH({""Drums"", ""Bass"", ""Lead""}, JOIN("" "", FILTER(C"&amp;"U6:CU1011, CU6:CU1011&lt;&gt;"""")))))))
"),"CRITICAL MASS")</f>
        <v>CRITICAL MASS</v>
      </c>
      <c r="CV3" s="3" t="str">
        <f>IFERROR(__xludf.DUMMYFUNCTION("IF(COUNTIF(CV6:CV1011, ""*Drums*"")*COUNTIF(CV6:CV1011, ""*Bass*"")*COUNTIF(CV6:CV1011, ""*Lead*"")&gt;0, ""CRITICAL MASS"", 
JOIN("", "", 
FILTER({""NO DRUMS"", ""NO BASS"", ""NO LEAD""}, 
ISERROR(SEARCH({""Drums"", ""Bass"", ""Lead""}, JOIN("" "", FILTER(C"&amp;"V6:CV1011, CV6:CV1011&lt;&gt;"""")))))))
"),"CRITICAL MASS")</f>
        <v>CRITICAL MASS</v>
      </c>
      <c r="CW3" s="3" t="str">
        <f>IFERROR(__xludf.DUMMYFUNCTION("IF(COUNTIF(CW6:CW1011, ""*Drums*"")*COUNTIF(CW6:CW1011, ""*Bass*"")*COUNTIF(CW6:CW1011, ""*Lead*"")&gt;0, ""CRITICAL MASS"", 
JOIN("", "", 
FILTER({""NO DRUMS"", ""NO BASS"", ""NO LEAD""}, 
ISERROR(SEARCH({""Drums"", ""Bass"", ""Lead""}, JOIN("" "", FILTER(C"&amp;"W6:CW1011, CW6:CW1011&lt;&gt;"""")))))))
"),"NO DRUMS, NO BASS")</f>
        <v>NO DRUMS, NO BASS</v>
      </c>
      <c r="CX3" s="3" t="str">
        <f>IFERROR(__xludf.DUMMYFUNCTION("IF(COUNTIF(CX6:CX1011, ""*Drums*"")*COUNTIF(CX6:CX1011, ""*Bass*"")*COUNTIF(CX6:CX1011, ""*Lead*"")&gt;0, ""CRITICAL MASS"", 
JOIN("", "", 
FILTER({""NO DRUMS"", ""NO BASS"", ""NO LEAD""}, 
ISERROR(SEARCH({""Drums"", ""Bass"", ""Lead""}, JOIN("" "", FILTER(C"&amp;"X6:CX1011, CX6:CX1011&lt;&gt;"""")))))))
"),"CRITICAL MASS")</f>
        <v>CRITICAL MASS</v>
      </c>
      <c r="CY3" s="3" t="str">
        <f>IFERROR(__xludf.DUMMYFUNCTION("IF(COUNTIF(CY6:CY1011, ""*Drums*"")*COUNTIF(CY6:CY1011, ""*Bass*"")*COUNTIF(CY6:CY1011, ""*Lead*"")&gt;0, ""CRITICAL MASS"", 
JOIN("", "", 
FILTER({""NO DRUMS"", ""NO BASS"", ""NO LEAD""}, 
ISERROR(SEARCH({""Drums"", ""Bass"", ""Lead""}, JOIN("" "", FILTER(C"&amp;"Y6:CY1011, CY6:CY1011&lt;&gt;"""")))))))
"),"CRITICAL MASS")</f>
        <v>CRITICAL MASS</v>
      </c>
      <c r="CZ3" s="3" t="str">
        <f>IFERROR(__xludf.DUMMYFUNCTION("IF(COUNTIF(CZ6:CZ1011, ""*Drums*"")*COUNTIF(CZ6:CZ1011, ""*Bass*"")*COUNTIF(CZ6:CZ1011, ""*Lead*"")&gt;0, ""CRITICAL MASS"", 
JOIN("", "", 
FILTER({""NO DRUMS"", ""NO BASS"", ""NO LEAD""}, 
ISERROR(SEARCH({""Drums"", ""Bass"", ""Lead""}, JOIN("" "", FILTER(C"&amp;"Z6:CZ1011, CZ6:CZ1011&lt;&gt;"""")))))))
"),"CRITICAL MASS")</f>
        <v>CRITICAL MASS</v>
      </c>
      <c r="DA3" s="3" t="str">
        <f>IFERROR(__xludf.DUMMYFUNCTION("IF(COUNTIF(DA6:DA1011, ""*Drums*"")*COUNTIF(DA6:DA1011, ""*Bass*"")*COUNTIF(DA6:DA1011, ""*Lead*"")&gt;0, ""CRITICAL MASS"", 
JOIN("", "", 
FILTER({""NO DRUMS"", ""NO BASS"", ""NO LEAD""}, 
ISERROR(SEARCH({""Drums"", ""Bass"", ""Lead""}, JOIN("" "", FILTER(D"&amp;"A6:DA1011, DA6:DA1011&lt;&gt;"""")))))))
"),"CRITICAL MASS")</f>
        <v>CRITICAL MASS</v>
      </c>
      <c r="DB3" s="3" t="str">
        <f>IFERROR(__xludf.DUMMYFUNCTION("IF(COUNTIF(DB6:DB1011, ""*Drums*"")*COUNTIF(DB6:DB1011, ""*Bass*"")*COUNTIF(DB6:DB1011, ""*Lead*"")&gt;0, ""CRITICAL MASS"", 
JOIN("", "", 
FILTER({""NO DRUMS"", ""NO BASS"", ""NO LEAD""}, 
ISERROR(SEARCH({""Drums"", ""Bass"", ""Lead""}, JOIN("" "", FILTER(D"&amp;"B6:DB1011, DB6:DB1011&lt;&gt;"""")))))))
"),"CRITICAL MASS")</f>
        <v>CRITICAL MASS</v>
      </c>
      <c r="DC3" s="3" t="str">
        <f>IFERROR(__xludf.DUMMYFUNCTION("IF(COUNTIF(DC6:DC1011, ""*Drums*"")*COUNTIF(DC6:DC1011, ""*Bass*"")*COUNTIF(DC6:DC1011, ""*Lead*"")&gt;0, ""CRITICAL MASS"", 
JOIN("", "", 
FILTER({""NO DRUMS"", ""NO BASS"", ""NO LEAD""}, 
ISERROR(SEARCH({""Drums"", ""Bass"", ""Lead""}, JOIN("" "", FILTER(D"&amp;"C6:DC1011, DC6:DC1011&lt;&gt;"""")))))))
"),"CRITICAL MASS")</f>
        <v>CRITICAL MASS</v>
      </c>
      <c r="DD3" s="3" t="str">
        <f>IFERROR(__xludf.DUMMYFUNCTION("IF(COUNTIF(DD6:DD1011, ""*Drums*"")*COUNTIF(DD6:DD1011, ""*Bass*"")*COUNTIF(DD6:DD1011, ""*Lead*"")&gt;0, ""CRITICAL MASS"", 
JOIN("", "", 
FILTER({""NO DRUMS"", ""NO BASS"", ""NO LEAD""}, 
ISERROR(SEARCH({""Drums"", ""Bass"", ""Lead""}, JOIN("" "", FILTER(D"&amp;"D6:DD1011, DD6:DD1011&lt;&gt;"""")))))))
"),"NO BASS")</f>
        <v>NO BASS</v>
      </c>
      <c r="DE3" s="3" t="str">
        <f>IFERROR(__xludf.DUMMYFUNCTION("IF(COUNTIF(DE6:DE1011, ""*Drums*"")*COUNTIF(DE6:DE1011, ""*Bass*"")*COUNTIF(DE6:DE1011, ""*Lead*"")&gt;0, ""CRITICAL MASS"", 
JOIN("", "", 
FILTER({""NO DRUMS"", ""NO BASS"", ""NO LEAD""}, 
ISERROR(SEARCH({""Drums"", ""Bass"", ""Lead""}, JOIN("" "", FILTER(D"&amp;"E6:DE1011, DE6:DE1011&lt;&gt;"""")))))))
"),"CRITICAL MASS")</f>
        <v>CRITICAL MASS</v>
      </c>
      <c r="DF3" s="3" t="str">
        <f>IFERROR(__xludf.DUMMYFUNCTION("IF(COUNTIF(DF6:DF1011, ""*Drums*"")*COUNTIF(DF6:DF1011, ""*Bass*"")*COUNTIF(DF6:DF1011, ""*Lead*"")&gt;0, ""CRITICAL MASS"", 
JOIN("", "", 
FILTER({""NO DRUMS"", ""NO BASS"", ""NO LEAD""}, 
ISERROR(SEARCH({""Drums"", ""Bass"", ""Lead""}, JOIN("" "", FILTER(D"&amp;"F6:DF1011, DF6:DF1011&lt;&gt;"""")))))))
"),"CRITICAL MASS")</f>
        <v>CRITICAL MASS</v>
      </c>
      <c r="DG3" s="3" t="str">
        <f>IFERROR(__xludf.DUMMYFUNCTION("IF(COUNTIF(DG6:DG1011, ""*Drums*"")*COUNTIF(DG6:DG1011, ""*Bass*"")*COUNTIF(DG6:DG1011, ""*Lead*"")&gt;0, ""CRITICAL MASS"", 
JOIN("", "", 
FILTER({""NO DRUMS"", ""NO BASS"", ""NO LEAD""}, 
ISERROR(SEARCH({""Drums"", ""Bass"", ""Lead""}, JOIN("" "", FILTER(D"&amp;"G6:DG1011, DG6:DG1011&lt;&gt;"""")))))))
"),"CRITICAL MASS")</f>
        <v>CRITICAL MASS</v>
      </c>
      <c r="DH3" s="3" t="str">
        <f>IFERROR(__xludf.DUMMYFUNCTION("IF(COUNTIF(DH6:DH1011, ""*Drums*"")*COUNTIF(DH6:DH1011, ""*Bass*"")*COUNTIF(DH6:DH1011, ""*Lead*"")&gt;0, ""CRITICAL MASS"", 
JOIN("", "", 
FILTER({""NO DRUMS"", ""NO BASS"", ""NO LEAD""}, 
ISERROR(SEARCH({""Drums"", ""Bass"", ""Lead""}, JOIN("" "", FILTER(D"&amp;"H6:DH1011, DH6:DH1011&lt;&gt;"""")))))))
"),"CRITICAL MASS")</f>
        <v>CRITICAL MASS</v>
      </c>
      <c r="DI3" s="3" t="str">
        <f>IFERROR(__xludf.DUMMYFUNCTION("IF(COUNTIF(DI6:DI1011, ""*Drums*"")*COUNTIF(DI6:DI1011, ""*Bass*"")*COUNTIF(DI6:DI1011, ""*Lead*"")&gt;0, ""CRITICAL MASS"", 
JOIN("", "", 
FILTER({""NO DRUMS"", ""NO BASS"", ""NO LEAD""}, 
ISERROR(SEARCH({""Drums"", ""Bass"", ""Lead""}, JOIN("" "", FILTER(D"&amp;"I6:DI1011, DI6:DI1011&lt;&gt;"""")))))))
"),"CRITICAL MASS")</f>
        <v>CRITICAL MASS</v>
      </c>
      <c r="DJ3" s="3" t="str">
        <f>IFERROR(__xludf.DUMMYFUNCTION("IF(COUNTIF(DJ6:DJ1011, ""*Drums*"")*COUNTIF(DJ6:DJ1011, ""*Bass*"")*COUNTIF(DJ6:DJ1011, ""*Lead*"")&gt;0, ""CRITICAL MASS"", 
JOIN("", "", 
FILTER({""NO DRUMS"", ""NO BASS"", ""NO LEAD""}, 
ISERROR(SEARCH({""Drums"", ""Bass"", ""Lead""}, JOIN("" "", FILTER(D"&amp;"J6:DJ1011, DJ6:DJ1011&lt;&gt;"""")))))))
"),"CRITICAL MASS")</f>
        <v>CRITICAL MASS</v>
      </c>
      <c r="DK3" s="3" t="str">
        <f>IFERROR(__xludf.DUMMYFUNCTION("IF(COUNTIF(DK6:DK1011, ""*Drums*"")*COUNTIF(DK6:DK1011, ""*Bass*"")*COUNTIF(DK6:DK1011, ""*Lead*"")&gt;0, ""CRITICAL MASS"", 
JOIN("", "", 
FILTER({""NO DRUMS"", ""NO BASS"", ""NO LEAD""}, 
ISERROR(SEARCH({""Drums"", ""Bass"", ""Lead""}, JOIN("" "", FILTER(D"&amp;"K6:DK1011, DK6:DK1011&lt;&gt;"""")))))))
"),"CRITICAL MASS")</f>
        <v>CRITICAL MASS</v>
      </c>
      <c r="DL3" s="3" t="str">
        <f>IFERROR(__xludf.DUMMYFUNCTION("IF(COUNTIF(DL6:DL1011, ""*Drums*"")*COUNTIF(DL6:DL1011, ""*Bass*"")*COUNTIF(DL6:DL1011, ""*Lead*"")&gt;0, ""CRITICAL MASS"", 
JOIN("", "", 
FILTER({""NO DRUMS"", ""NO BASS"", ""NO LEAD""}, 
ISERROR(SEARCH({""Drums"", ""Bass"", ""Lead""}, JOIN("" "", FILTER(D"&amp;"L6:DL1011, DL6:DL1011&lt;&gt;"""")))))))
"),"CRITICAL MASS")</f>
        <v>CRITICAL MASS</v>
      </c>
      <c r="DM3" s="3" t="str">
        <f>IFERROR(__xludf.DUMMYFUNCTION("IF(COUNTIF(DM6:DM1011, ""*Drums*"")*COUNTIF(DM6:DM1011, ""*Bass*"")*COUNTIF(DM6:DM1011, ""*Lead*"")&gt;0, ""CRITICAL MASS"", 
JOIN("", "", 
FILTER({""NO DRUMS"", ""NO BASS"", ""NO LEAD""}, 
ISERROR(SEARCH({""Drums"", ""Bass"", ""Lead""}, JOIN("" "", FILTER(D"&amp;"M6:DM1011, DM6:DM1011&lt;&gt;"""")))))))
"),"NO BASS")</f>
        <v>NO BASS</v>
      </c>
      <c r="DN3" s="3" t="str">
        <f>IFERROR(__xludf.DUMMYFUNCTION("IF(COUNTIF(DN6:DN1011, ""*Drums*"")*COUNTIF(DN6:DN1011, ""*Bass*"")*COUNTIF(DN6:DN1011, ""*Lead*"")&gt;0, ""CRITICAL MASS"", 
JOIN("", "", 
FILTER({""NO DRUMS"", ""NO BASS"", ""NO LEAD""}, 
ISERROR(SEARCH({""Drums"", ""Bass"", ""Lead""}, JOIN("" "", FILTER(D"&amp;"N6:DN1011, DN6:DN1011&lt;&gt;"""")))))))
"),"CRITICAL MASS")</f>
        <v>CRITICAL MASS</v>
      </c>
      <c r="DO3" s="3" t="str">
        <f>IFERROR(__xludf.DUMMYFUNCTION("IF(COUNTIF(DO6:DO1011, ""*Drums*"")*COUNTIF(DO6:DO1011, ""*Bass*"")*COUNTIF(DO6:DO1011, ""*Lead*"")&gt;0, ""CRITICAL MASS"", 
JOIN("", "", 
FILTER({""NO DRUMS"", ""NO BASS"", ""NO LEAD""}, 
ISERROR(SEARCH({""Drums"", ""Bass"", ""Lead""}, JOIN("" "", FILTER(D"&amp;"O6:DO1011, DO6:DO1011&lt;&gt;"""")))))))
"),"CRITICAL MASS")</f>
        <v>CRITICAL MASS</v>
      </c>
      <c r="DP3" s="3" t="str">
        <f>IFERROR(__xludf.DUMMYFUNCTION("IF(COUNTIF(DP6:DP1011, ""*Drums*"")*COUNTIF(DP6:DP1011, ""*Bass*"")*COUNTIF(DP6:DP1011, ""*Lead*"")&gt;0, ""CRITICAL MASS"", 
JOIN("", "", 
FILTER({""NO DRUMS"", ""NO BASS"", ""NO LEAD""}, 
ISERROR(SEARCH({""Drums"", ""Bass"", ""Lead""}, JOIN("" "", FILTER(D"&amp;"P6:DP1011, DP6:DP1011&lt;&gt;"""")))))))
"),"CRITICAL MASS")</f>
        <v>CRITICAL MASS</v>
      </c>
      <c r="DQ3" s="3" t="str">
        <f>IFERROR(__xludf.DUMMYFUNCTION("IF(COUNTIF(DQ6:DQ1011, ""*Drums*"")*COUNTIF(DQ6:DQ1011, ""*Bass*"")*COUNTIF(DQ6:DQ1011, ""*Lead*"")&gt;0, ""CRITICAL MASS"", 
JOIN("", "", 
FILTER({""NO DRUMS"", ""NO BASS"", ""NO LEAD""}, 
ISERROR(SEARCH({""Drums"", ""Bass"", ""Lead""}, JOIN("" "", FILTER(D"&amp;"Q6:DQ1011, DQ6:DQ1011&lt;&gt;"""")))))))
"),"NO BASS")</f>
        <v>NO BASS</v>
      </c>
      <c r="DR3" s="3" t="str">
        <f>IFERROR(__xludf.DUMMYFUNCTION("IF(COUNTIF(DR6:DR1011, ""*Drums*"")*COUNTIF(DR6:DR1011, ""*Bass*"")*COUNTIF(DR6:DR1011, ""*Lead*"")&gt;0, ""CRITICAL MASS"", 
JOIN("", "", 
FILTER({""NO DRUMS"", ""NO BASS"", ""NO LEAD""}, 
ISERROR(SEARCH({""Drums"", ""Bass"", ""Lead""}, JOIN("" "", FILTER(D"&amp;"R6:DR1011, DR6:DR1011&lt;&gt;"""")))))))
"),"CRITICAL MASS")</f>
        <v>CRITICAL MASS</v>
      </c>
      <c r="DS3" s="3" t="str">
        <f>IFERROR(__xludf.DUMMYFUNCTION("IF(COUNTIF(DS6:DS1011, ""*Drums*"")*COUNTIF(DS6:DS1011, ""*Bass*"")*COUNTIF(DS6:DS1011, ""*Lead*"")&gt;0, ""CRITICAL MASS"", 
JOIN("", "", 
FILTER({""NO DRUMS"", ""NO BASS"", ""NO LEAD""}, 
ISERROR(SEARCH({""Drums"", ""Bass"", ""Lead""}, JOIN("" "", FILTER(D"&amp;"S6:DS1011, DS6:DS1011&lt;&gt;"""")))))))
"),"CRITICAL MASS")</f>
        <v>CRITICAL MASS</v>
      </c>
      <c r="DT3" s="3" t="str">
        <f>IFERROR(__xludf.DUMMYFUNCTION("IF(COUNTIF(DT6:DT1011, ""*Drums*"")*COUNTIF(DT6:DT1011, ""*Bass*"")*COUNTIF(DT6:DT1011, ""*Lead*"")&gt;0, ""CRITICAL MASS"", 
JOIN("", "", 
FILTER({""NO DRUMS"", ""NO BASS"", ""NO LEAD""}, 
ISERROR(SEARCH({""Drums"", ""Bass"", ""Lead""}, JOIN("" "", FILTER(D"&amp;"T6:DT1011, DT6:DT1011&lt;&gt;"""")))))))
"),"CRITICAL MASS")</f>
        <v>CRITICAL MASS</v>
      </c>
      <c r="DU3" s="3" t="str">
        <f>IFERROR(__xludf.DUMMYFUNCTION("IF(COUNTIF(DU6:DU1011, ""*Drums*"")*COUNTIF(DU6:DU1011, ""*Bass*"")*COUNTIF(DU6:DU1011, ""*Lead*"")&gt;0, ""CRITICAL MASS"", 
JOIN("", "", 
FILTER({""NO DRUMS"", ""NO BASS"", ""NO LEAD""}, 
ISERROR(SEARCH({""Drums"", ""Bass"", ""Lead""}, JOIN("" "", FILTER(D"&amp;"U6:DU1011, DU6:DU1011&lt;&gt;"""")))))))
"),"CRITICAL MASS")</f>
        <v>CRITICAL MASS</v>
      </c>
      <c r="DV3" s="3" t="str">
        <f>IFERROR(__xludf.DUMMYFUNCTION("IF(COUNTIF(DV6:DV1011, ""*Drums*"")*COUNTIF(DV6:DV1011, ""*Bass*"")*COUNTIF(DV6:DV1011, ""*Lead*"")&gt;0, ""CRITICAL MASS"", 
JOIN("", "", 
FILTER({""NO DRUMS"", ""NO BASS"", ""NO LEAD""}, 
ISERROR(SEARCH({""Drums"", ""Bass"", ""Lead""}, JOIN("" "", FILTER(D"&amp;"V6:DV1011, DV6:DV1011&lt;&gt;"""")))))))
"),"CRITICAL MASS")</f>
        <v>CRITICAL MASS</v>
      </c>
      <c r="DW3" s="3" t="str">
        <f>IFERROR(__xludf.DUMMYFUNCTION("IF(COUNTIF(DW6:DW1011, ""*Drums*"")*COUNTIF(DW6:DW1011, ""*Bass*"")*COUNTIF(DW6:DW1011, ""*Lead*"")&gt;0, ""CRITICAL MASS"", 
JOIN("", "", 
FILTER({""NO DRUMS"", ""NO BASS"", ""NO LEAD""}, 
ISERROR(SEARCH({""Drums"", ""Bass"", ""Lead""}, JOIN("" "", FILTER(D"&amp;"W6:DW1011, DW6:DW1011&lt;&gt;"""")))))))
"),"CRITICAL MASS")</f>
        <v>CRITICAL MASS</v>
      </c>
      <c r="DX3" s="3" t="str">
        <f>IFERROR(__xludf.DUMMYFUNCTION("IF(COUNTIF(DX6:DX1011, ""*Drums*"")*COUNTIF(DX6:DX1011, ""*Bass*"")*COUNTIF(DX6:DX1011, ""*Lead*"")&gt;0, ""CRITICAL MASS"", 
JOIN("", "", 
FILTER({""NO DRUMS"", ""NO BASS"", ""NO LEAD""}, 
ISERROR(SEARCH({""Drums"", ""Bass"", ""Lead""}, JOIN("" "", FILTER(D"&amp;"X6:DX1011, DX6:DX1011&lt;&gt;"""")))))))
"),"CRITICAL MASS")</f>
        <v>CRITICAL MASS</v>
      </c>
      <c r="DY3" s="4" t="s">
        <v>5</v>
      </c>
      <c r="DZ3" s="3" t="str">
        <f>IFERROR(__xludf.DUMMYFUNCTION("IF(COUNTIF(DZ6:DZ1011, ""*Drums*"")*COUNTIF(DZ6:DZ1011, ""*Bass*"")*COUNTIF(DZ6:DZ1011, ""*Lead*"")&gt;0, ""CRITICAL MASS"", 
JOIN("", "", 
FILTER({""NO DRUMS"", ""NO BASS"", ""NO LEAD""}, 
ISERROR(SEARCH({""Drums"", ""Bass"", ""Lead""}, JOIN("" "", FILTER(D"&amp;"Z6:DZ1011, DZ6:DZ1011&lt;&gt;"""")))))))
"),"CRITICAL MASS")</f>
        <v>CRITICAL MASS</v>
      </c>
      <c r="EA3" s="3" t="str">
        <f>IFERROR(__xludf.DUMMYFUNCTION("IF(COUNTIF(EA6:EA1011, ""*Drums*"")*COUNTIF(EA6:EA1011, ""*Bass*"")*COUNTIF(EA6:EA1011, ""*Lead*"")&gt;0, ""CRITICAL MASS"", 
JOIN("", "", 
FILTER({""NO DRUMS"", ""NO BASS"", ""NO LEAD""}, 
ISERROR(SEARCH({""Drums"", ""Bass"", ""Lead""}, JOIN("" "", FILTER(E"&amp;"A6:EA1011, EA6:EA1011&lt;&gt;"""")))))))
"),"CRITICAL MASS")</f>
        <v>CRITICAL MASS</v>
      </c>
      <c r="EB3" s="3" t="str">
        <f>IFERROR(__xludf.DUMMYFUNCTION("IF(COUNTIF(EB6:EB1011, ""*Drums*"")*COUNTIF(EB6:EB1011, ""*Bass*"")*COUNTIF(EB6:EB1011, ""*Lead*"")&gt;0, ""CRITICAL MASS"", 
JOIN("", "", 
FILTER({""NO DRUMS"", ""NO BASS"", ""NO LEAD""}, 
ISERROR(SEARCH({""Drums"", ""Bass"", ""Lead""}, JOIN("" "", FILTER(E"&amp;"B6:EB1011, EB6:EB1011&lt;&gt;"""")))))))
"),"CRITICAL MASS")</f>
        <v>CRITICAL MASS</v>
      </c>
      <c r="EC3" s="3" t="str">
        <f>IFERROR(__xludf.DUMMYFUNCTION("IF(COUNTIF(EC6:EC1011, ""*Drums*"")*COUNTIF(EC6:EC1011, ""*Bass*"")*COUNTIF(EC6:EC1011, ""*Lead*"")&gt;0, ""CRITICAL MASS"", 
JOIN("", "", 
FILTER({""NO DRUMS"", ""NO BASS"", ""NO LEAD""}, 
ISERROR(SEARCH({""Drums"", ""Bass"", ""Lead""}, JOIN("" "", FILTER(E"&amp;"C6:EC1011, EC6:EC1011&lt;&gt;"""")))))))
"),"CRITICAL MASS")</f>
        <v>CRITICAL MASS</v>
      </c>
      <c r="ED3" s="3" t="str">
        <f>IFERROR(__xludf.DUMMYFUNCTION("IF(COUNTIF(ED6:ED1011, ""*Drums*"")*COUNTIF(ED6:ED1011, ""*Bass*"")*COUNTIF(ED6:ED1011, ""*Lead*"")&gt;0, ""CRITICAL MASS"", 
JOIN("", "", 
FILTER({""NO DRUMS"", ""NO BASS"", ""NO LEAD""}, 
ISERROR(SEARCH({""Drums"", ""Bass"", ""Lead""}, JOIN("" "", FILTER(E"&amp;"D6:ED1011, ED6:ED1011&lt;&gt;"""")))))))
"),"CRITICAL MASS")</f>
        <v>CRITICAL MASS</v>
      </c>
      <c r="EE3" s="3" t="str">
        <f>IFERROR(__xludf.DUMMYFUNCTION("IF(COUNTIF(EE6:EE1011, ""*Drums*"")*COUNTIF(EE6:EE1011, ""*Bass*"")*COUNTIF(EE6:EE1011, ""*Lead*"")&gt;0, ""CRITICAL MASS"", 
JOIN("", "", 
FILTER({""NO DRUMS"", ""NO BASS"", ""NO LEAD""}, 
ISERROR(SEARCH({""Drums"", ""Bass"", ""Lead""}, JOIN("" "", FILTER(E"&amp;"E6:EE1011, EE6:EE1011&lt;&gt;"""")))))))
"),"CRITICAL MASS")</f>
        <v>CRITICAL MASS</v>
      </c>
      <c r="EF3" s="3" t="str">
        <f>IFERROR(__xludf.DUMMYFUNCTION("IF(COUNTIF(EF6:EF1011, ""*Drums*"")*COUNTIF(EF6:EF1011, ""*Bass*"")*COUNTIF(EF6:EF1011, ""*Lead*"")&gt;0, ""CRITICAL MASS"", 
JOIN("", "", 
FILTER({""NO DRUMS"", ""NO BASS"", ""NO LEAD""}, 
ISERROR(SEARCH({""Drums"", ""Bass"", ""Lead""}, JOIN("" "", FILTER(E"&amp;"F6:EF1011, EF6:EF1011&lt;&gt;"""")))))))
"),"CRITICAL MASS")</f>
        <v>CRITICAL MASS</v>
      </c>
      <c r="EG3" s="3" t="str">
        <f>IFERROR(__xludf.DUMMYFUNCTION("IF(COUNTIF(EG6:EG1011, ""*Drums*"")*COUNTIF(EG6:EG1011, ""*Bass*"")*COUNTIF(EG6:EG1011, ""*Lead*"")&gt;0, ""CRITICAL MASS"", 
JOIN("", "", 
FILTER({""NO DRUMS"", ""NO BASS"", ""NO LEAD""}, 
ISERROR(SEARCH({""Drums"", ""Bass"", ""Lead""}, JOIN("" "", FILTER(E"&amp;"G6:EG1011, EG6:EG1011&lt;&gt;"""")))))))
"),"CRITICAL MASS")</f>
        <v>CRITICAL MASS</v>
      </c>
      <c r="EH3" s="3" t="str">
        <f>IFERROR(__xludf.DUMMYFUNCTION("IF(COUNTIF(EH6:EH1011, ""*Drums*"")*COUNTIF(EH6:EH1011, ""*Bass*"")*COUNTIF(EH6:EH1011, ""*Lead*"")&gt;0, ""CRITICAL MASS"", 
JOIN("", "", 
FILTER({""NO DRUMS"", ""NO BASS"", ""NO LEAD""}, 
ISERROR(SEARCH({""Drums"", ""Bass"", ""Lead""}, JOIN("" "", FILTER(E"&amp;"H6:EH1011, EH6:EH1011&lt;&gt;"""")))))))
"),"CRITICAL MASS")</f>
        <v>CRITICAL MASS</v>
      </c>
      <c r="EI3" s="3" t="str">
        <f>IFERROR(__xludf.DUMMYFUNCTION("IF(COUNTIF(EI6:EI1011, ""*Drums*"")*COUNTIF(EI6:EI1011, ""*Bass*"")*COUNTIF(EI6:EI1011, ""*Lead*"")&gt;0, ""CRITICAL MASS"", 
JOIN("", "", 
FILTER({""NO DRUMS"", ""NO BASS"", ""NO LEAD""}, 
ISERROR(SEARCH({""Drums"", ""Bass"", ""Lead""}, JOIN("" "", FILTER(E"&amp;"I6:EI1011, EI6:EI1011&lt;&gt;"""")))))))
"),"CRITICAL MASS")</f>
        <v>CRITICAL MASS</v>
      </c>
      <c r="EJ3" s="3" t="str">
        <f>IFERROR(__xludf.DUMMYFUNCTION("IF(COUNTIF(EJ6:EJ1011, ""*Drums*"")*COUNTIF(EJ6:EJ1011, ""*Bass*"")*COUNTIF(EJ6:EJ1011, ""*Lead*"")&gt;0, ""CRITICAL MASS"", 
JOIN("", "", 
FILTER({""NO DRUMS"", ""NO BASS"", ""NO LEAD""}, 
ISERROR(SEARCH({""Drums"", ""Bass"", ""Lead""}, JOIN("" "", FILTER(E"&amp;"J6:EJ1011, EJ6:EJ1011&lt;&gt;"""")))))))
"),"CRITICAL MASS")</f>
        <v>CRITICAL MASS</v>
      </c>
      <c r="EK3" s="3" t="str">
        <f>IFERROR(__xludf.DUMMYFUNCTION("IF(COUNTIF(EK6:EK1011, ""*Drums*"")*COUNTIF(EK6:EK1011, ""*Bass*"")*COUNTIF(EK6:EK1011, ""*Lead*"")&gt;0, ""CRITICAL MASS"", 
JOIN("", "", 
FILTER({""NO DRUMS"", ""NO BASS"", ""NO LEAD""}, 
ISERROR(SEARCH({""Drums"", ""Bass"", ""Lead""}, JOIN("" "", FILTER(E"&amp;"K6:EK1011, EK6:EK1011&lt;&gt;"""")))))))
"),"CRITICAL MASS")</f>
        <v>CRITICAL MASS</v>
      </c>
      <c r="EL3" s="3" t="str">
        <f>IFERROR(__xludf.DUMMYFUNCTION("IF(COUNTIF(EL6:EL1011, ""*Drums*"")*COUNTIF(EL6:EL1011, ""*Bass*"")*COUNTIF(EL6:EL1011, ""*Lead*"")&gt;0, ""CRITICAL MASS"", 
JOIN("", "", 
FILTER({""NO DRUMS"", ""NO BASS"", ""NO LEAD""}, 
ISERROR(SEARCH({""Drums"", ""Bass"", ""Lead""}, JOIN("" "", FILTER(E"&amp;"L6:EL1011, EL6:EL1011&lt;&gt;"""")))))))
"),"CRITICAL MASS")</f>
        <v>CRITICAL MASS</v>
      </c>
      <c r="EM3" s="3" t="str">
        <f>IFERROR(__xludf.DUMMYFUNCTION("IF(COUNTIF(EM6:EM1011, ""*Drums*"")*COUNTIF(EM6:EM1011, ""*Bass*"")*COUNTIF(EM6:EM1011, ""*Lead*"")&gt;0, ""CRITICAL MASS"", 
JOIN("", "", 
FILTER({""NO DRUMS"", ""NO BASS"", ""NO LEAD""}, 
ISERROR(SEARCH({""Drums"", ""Bass"", ""Lead""}, JOIN("" "", FILTER(E"&amp;"M6:EM1011, EM6:EM1011&lt;&gt;"""")))))))
"),"CRITICAL MASS")</f>
        <v>CRITICAL MASS</v>
      </c>
      <c r="EN3" s="3" t="str">
        <f>IFERROR(__xludf.DUMMYFUNCTION("IF(COUNTIF(EN6:EN1011, ""*Drums*"")*COUNTIF(EN6:EN1011, ""*Bass*"")*COUNTIF(EN6:EN1011, ""*Lead*"")&gt;0, ""CRITICAL MASS"", 
JOIN("", "", 
FILTER({""NO DRUMS"", ""NO BASS"", ""NO LEAD""}, 
ISERROR(SEARCH({""Drums"", ""Bass"", ""Lead""}, JOIN("" "", FILTER(E"&amp;"N6:EN1011, EN6:EN1011&lt;&gt;"""")))))))
"),"CRITICAL MASS")</f>
        <v>CRITICAL MASS</v>
      </c>
      <c r="EO3" s="3" t="str">
        <f>IFERROR(__xludf.DUMMYFUNCTION("IF(COUNTIF(EO6:EO1011, ""*Drums*"")*COUNTIF(EO6:EO1011, ""*Bass*"")*COUNTIF(EO6:EO1011, ""*Lead*"")&gt;0, ""CRITICAL MASS"", 
JOIN("", "", 
FILTER({""NO DRUMS"", ""NO BASS"", ""NO LEAD""}, 
ISERROR(SEARCH({""Drums"", ""Bass"", ""Lead""}, JOIN("" "", FILTER(E"&amp;"O6:EO1011, EO6:EO1011&lt;&gt;"""")))))))
"),"CRITICAL MASS")</f>
        <v>CRITICAL MASS</v>
      </c>
      <c r="EP3" s="3" t="str">
        <f>IFERROR(__xludf.DUMMYFUNCTION("IF(COUNTIF(EP6:EP1011, ""*Drums*"")*COUNTIF(EP6:EP1011, ""*Bass*"")*COUNTIF(EP6:EP1011, ""*Lead*"")&gt;0, ""CRITICAL MASS"", 
JOIN("", "", 
FILTER({""NO DRUMS"", ""NO BASS"", ""NO LEAD""}, 
ISERROR(SEARCH({""Drums"", ""Bass"", ""Lead""}, JOIN("" "", FILTER(E"&amp;"P6:EP1011, EP6:EP1011&lt;&gt;"""")))))))
"),"CRITICAL MASS")</f>
        <v>CRITICAL MASS</v>
      </c>
      <c r="EQ3" s="3" t="str">
        <f>IFERROR(__xludf.DUMMYFUNCTION("IF(COUNTIF(EQ6:EQ1011, ""*Drums*"")*COUNTIF(EQ6:EQ1011, ""*Bass*"")*COUNTIF(EQ6:EQ1011, ""*Lead*"")&gt;0, ""CRITICAL MASS"", 
JOIN("", "", 
FILTER({""NO DRUMS"", ""NO BASS"", ""NO LEAD""}, 
ISERROR(SEARCH({""Drums"", ""Bass"", ""Lead""}, JOIN("" "", FILTER(E"&amp;"Q6:EQ1011, EQ6:EQ1011&lt;&gt;"""")))))))
"),"CRITICAL MASS")</f>
        <v>CRITICAL MASS</v>
      </c>
      <c r="ER3" s="3" t="str">
        <f>IFERROR(__xludf.DUMMYFUNCTION("IF(COUNTIF(ER6:ER1011, ""*Drums*"")*COUNTIF(ER6:ER1011, ""*Bass*"")*COUNTIF(ER6:ER1011, ""*Lead*"")&gt;0, ""CRITICAL MASS"", 
JOIN("", "", 
FILTER({""NO DRUMS"", ""NO BASS"", ""NO LEAD""}, 
ISERROR(SEARCH({""Drums"", ""Bass"", ""Lead""}, JOIN("" "", FILTER(E"&amp;"R6:ER1011, ER6:ER1011&lt;&gt;"""")))))))
"),"CRITICAL MASS")</f>
        <v>CRITICAL MASS</v>
      </c>
      <c r="ES3" s="3" t="str">
        <f>IFERROR(__xludf.DUMMYFUNCTION("IF(COUNTIF(ES6:ES1011, ""*Drums*"")*COUNTIF(ES6:ES1011, ""*Bass*"")*COUNTIF(ES6:ES1011, ""*Lead*"")&gt;0, ""CRITICAL MASS"", 
JOIN("", "", 
FILTER({""NO DRUMS"", ""NO BASS"", ""NO LEAD""}, 
ISERROR(SEARCH({""Drums"", ""Bass"", ""Lead""}, JOIN("" "", FILTER(E"&amp;"S6:ES1011, ES6:ES1011&lt;&gt;"""")))))))
"),"CRITICAL MASS")</f>
        <v>CRITICAL MASS</v>
      </c>
      <c r="ET3" s="3" t="str">
        <f>IFERROR(__xludf.DUMMYFUNCTION("IF(COUNTIF(ET6:ET1011, ""*Drums*"")*COUNTIF(ET6:ET1011, ""*Bass*"")*COUNTIF(ET6:ET1011, ""*Lead*"")&gt;0, ""CRITICAL MASS"", 
JOIN("", "", 
FILTER({""NO DRUMS"", ""NO BASS"", ""NO LEAD""}, 
ISERROR(SEARCH({""Drums"", ""Bass"", ""Lead""}, JOIN("" "", FILTER(E"&amp;"T6:ET1011, ET6:ET1011&lt;&gt;"""")))))))
"),"CRITICAL MASS")</f>
        <v>CRITICAL MASS</v>
      </c>
      <c r="EU3" s="3" t="str">
        <f>IFERROR(__xludf.DUMMYFUNCTION("IF(COUNTIF(EU6:EU1011, ""*Drums*"")*COUNTIF(EU6:EU1011, ""*Bass*"")*COUNTIF(EU6:EU1011, ""*Lead*"")&gt;0, ""CRITICAL MASS"", 
JOIN("", "", 
FILTER({""NO DRUMS"", ""NO BASS"", ""NO LEAD""}, 
ISERROR(SEARCH({""Drums"", ""Bass"", ""Lead""}, JOIN("" "", FILTER(E"&amp;"U6:EU1011, EU6:EU1011&lt;&gt;"""")))))))
"),"CRITICAL MASS")</f>
        <v>CRITICAL MASS</v>
      </c>
      <c r="EV3" s="3" t="str">
        <f>IFERROR(__xludf.DUMMYFUNCTION("IF(COUNTIF(EV6:EV1011, ""*Drums*"")*COUNTIF(EV6:EV1011, ""*Bass*"")*COUNTIF(EV6:EV1011, ""*Lead*"")&gt;0, ""CRITICAL MASS"", 
JOIN("", "", 
FILTER({""NO DRUMS"", ""NO BASS"", ""NO LEAD""}, 
ISERROR(SEARCH({""Drums"", ""Bass"", ""Lead""}, JOIN("" "", FILTER(E"&amp;"V6:EV1011, EV6:EV1011&lt;&gt;"""")))))))
"),"CRITICAL MASS")</f>
        <v>CRITICAL MASS</v>
      </c>
      <c r="EW3" s="3" t="str">
        <f>IFERROR(__xludf.DUMMYFUNCTION("IF(COUNTIF(EW6:EW1011, ""*Drums*"")*COUNTIF(EW6:EW1011, ""*Bass*"")*COUNTIF(EW6:EW1011, ""*Lead*"")&gt;0, ""CRITICAL MASS"", 
JOIN("", "", 
FILTER({""NO DRUMS"", ""NO BASS"", ""NO LEAD""}, 
ISERROR(SEARCH({""Drums"", ""Bass"", ""Lead""}, JOIN("" "", FILTER(E"&amp;"W6:EW1011, EW6:EW1011&lt;&gt;"""")))))))
"),"CRITICAL MASS")</f>
        <v>CRITICAL MASS</v>
      </c>
      <c r="EX3" s="3" t="str">
        <f>IFERROR(__xludf.DUMMYFUNCTION("IF(COUNTIF(EX6:EX1011, ""*Drums*"")*COUNTIF(EX6:EX1011, ""*Bass*"")*COUNTIF(EX6:EX1011, ""*Lead*"")&gt;0, ""CRITICAL MASS"", 
JOIN("", "", 
FILTER({""NO DRUMS"", ""NO BASS"", ""NO LEAD""}, 
ISERROR(SEARCH({""Drums"", ""Bass"", ""Lead""}, JOIN("" "", FILTER(E"&amp;"X6:EX1011, EX6:EX1011&lt;&gt;"""")))))))
"),"NO DRUMS")</f>
        <v>NO DRUMS</v>
      </c>
      <c r="EY3" s="3" t="str">
        <f>IFERROR(__xludf.DUMMYFUNCTION("IF(COUNTIF(EY6:EY1011, ""*Drums*"")*COUNTIF(EY6:EY1011, ""*Bass*"")*COUNTIF(EY6:EY1011, ""*Lead*"")&gt;0, ""CRITICAL MASS"", 
JOIN("", "", 
FILTER({""NO DRUMS"", ""NO BASS"", ""NO LEAD""}, 
ISERROR(SEARCH({""Drums"", ""Bass"", ""Lead""}, JOIN("" "", FILTER(E"&amp;"Y6:EY1011, EY6:EY1011&lt;&gt;"""")))))))
"),"CRITICAL MASS")</f>
        <v>CRITICAL MASS</v>
      </c>
      <c r="EZ3" s="3" t="str">
        <f>IFERROR(__xludf.DUMMYFUNCTION("IF(COUNTIF(EZ6:EZ1011, ""*Drums*"")*COUNTIF(EZ6:EZ1011, ""*Bass*"")*COUNTIF(EZ6:EZ1011, ""*Lead*"")&gt;0, ""CRITICAL MASS"", 
JOIN("", "", 
FILTER({""NO DRUMS"", ""NO BASS"", ""NO LEAD""}, 
ISERROR(SEARCH({""Drums"", ""Bass"", ""Lead""}, JOIN("" "", FILTER(E"&amp;"Z6:EZ1011, EZ6:EZ1011&lt;&gt;"""")))))))
"),"CRITICAL MASS")</f>
        <v>CRITICAL MASS</v>
      </c>
      <c r="FA3" s="3" t="str">
        <f>IFERROR(__xludf.DUMMYFUNCTION("IF(COUNTIF(FA6:FA1011, ""*Drums*"")*COUNTIF(FA6:FA1011, ""*Bass*"")*COUNTIF(FA6:FA1011, ""*Lead*"")&gt;0, ""CRITICAL MASS"", 
JOIN("", "", 
FILTER({""NO DRUMS"", ""NO BASS"", ""NO LEAD""}, 
ISERROR(SEARCH({""Drums"", ""Bass"", ""Lead""}, JOIN("" "", FILTER(F"&amp;"A6:FA1011, FA6:FA1011&lt;&gt;"""")))))))
"),"NO BASS")</f>
        <v>NO BASS</v>
      </c>
      <c r="FB3" s="3" t="str">
        <f>IFERROR(__xludf.DUMMYFUNCTION("IF(COUNTIF(FB6:FB1011, ""*Drums*"")*COUNTIF(FB6:FB1011, ""*Bass*"")*COUNTIF(FB6:FB1011, ""*Lead*"")&gt;0, ""CRITICAL MASS"", 
JOIN("", "", 
FILTER({""NO DRUMS"", ""NO BASS"", ""NO LEAD""}, 
ISERROR(SEARCH({""Drums"", ""Bass"", ""Lead""}, JOIN("" "", FILTER(F"&amp;"B6:FB1011, FB6:FB1011&lt;&gt;"""")))))))
"),"CRITICAL MASS")</f>
        <v>CRITICAL MASS</v>
      </c>
      <c r="FC3" s="3" t="str">
        <f>IFERROR(__xludf.DUMMYFUNCTION("IF(COUNTIF(FC6:FC1011, ""*Drums*"")*COUNTIF(FC6:FC1011, ""*Bass*"")*COUNTIF(FC6:FC1011, ""*Lead*"")&gt;0, ""CRITICAL MASS"", 
JOIN("", "", 
FILTER({""NO DRUMS"", ""NO BASS"", ""NO LEAD""}, 
ISERROR(SEARCH({""Drums"", ""Bass"", ""Lead""}, JOIN("" "", FILTER(F"&amp;"C6:FC1011, FC6:FC1011&lt;&gt;"""")))))))
"),"CRITICAL MASS")</f>
        <v>CRITICAL MASS</v>
      </c>
      <c r="FD3" s="3" t="str">
        <f>IFERROR(__xludf.DUMMYFUNCTION("IF(COUNTIF(FD6:FD1011, ""*Drums*"")*COUNTIF(FD6:FD1011, ""*Bass*"")*COUNTIF(FD6:FD1011, ""*Lead*"")&gt;0, ""CRITICAL MASS"", 
JOIN("", "", 
FILTER({""NO DRUMS"", ""NO BASS"", ""NO LEAD""}, 
ISERROR(SEARCH({""Drums"", ""Bass"", ""Lead""}, JOIN("" "", FILTER(F"&amp;"D6:FD1011, FD6:FD1011&lt;&gt;"""")))))))
"),"CRITICAL MASS")</f>
        <v>CRITICAL MASS</v>
      </c>
      <c r="FE3" s="3" t="str">
        <f>IFERROR(__xludf.DUMMYFUNCTION("IF(COUNTIF(FE6:FE1011, ""*Drums*"")*COUNTIF(FE6:FE1011, ""*Bass*"")*COUNTIF(FE6:FE1011, ""*Lead*"")&gt;0, ""CRITICAL MASS"", 
JOIN("", "", 
FILTER({""NO DRUMS"", ""NO BASS"", ""NO LEAD""}, 
ISERROR(SEARCH({""Drums"", ""Bass"", ""Lead""}, JOIN("" "", FILTER(F"&amp;"E6:FE1011, FE6:FE1011&lt;&gt;"""")))))))
"),"NO DRUMS, NO BASS")</f>
        <v>NO DRUMS, NO BASS</v>
      </c>
      <c r="FF3" s="3" t="str">
        <f>IFERROR(__xludf.DUMMYFUNCTION("IF(COUNTIF(FF6:FF1011, ""*Drums*"")*COUNTIF(FF6:FF1011, ""*Bass*"")*COUNTIF(FF6:FF1011, ""*Lead*"")&gt;0, ""CRITICAL MASS"", 
JOIN("", "", 
FILTER({""NO DRUMS"", ""NO BASS"", ""NO LEAD""}, 
ISERROR(SEARCH({""Drums"", ""Bass"", ""Lead""}, JOIN("" "", FILTER(F"&amp;"F6:FF1011, FF6:FF1011&lt;&gt;"""")))))))
"),"CRITICAL MASS")</f>
        <v>CRITICAL MASS</v>
      </c>
      <c r="FG3" s="3" t="str">
        <f>IFERROR(__xludf.DUMMYFUNCTION("IF(COUNTIF(FG6:FG1011, ""*Drums*"")*COUNTIF(FG6:FG1011, ""*Bass*"")*COUNTIF(FG6:FG1011, ""*Lead*"")&gt;0, ""CRITICAL MASS"", 
JOIN("", "", 
FILTER({""NO DRUMS"", ""NO BASS"", ""NO LEAD""}, 
ISERROR(SEARCH({""Drums"", ""Bass"", ""Lead""}, JOIN("" "", FILTER(F"&amp;"G6:FG1011, FG6:FG1011&lt;&gt;"""")))))))
"),"CRITICAL MASS")</f>
        <v>CRITICAL MASS</v>
      </c>
      <c r="FH3" s="3" t="str">
        <f>IFERROR(__xludf.DUMMYFUNCTION("IF(COUNTIF(FH6:FH1011, ""*Drums*"")*COUNTIF(FH6:FH1011, ""*Bass*"")*COUNTIF(FH6:FH1011, ""*Lead*"")&gt;0, ""CRITICAL MASS"", 
JOIN("", "", 
FILTER({""NO DRUMS"", ""NO BASS"", ""NO LEAD""}, 
ISERROR(SEARCH({""Drums"", ""Bass"", ""Lead""}, JOIN("" "", FILTER(F"&amp;"H6:FH1011, FH6:FH1011&lt;&gt;"""")))))))
"),"CRITICAL MASS")</f>
        <v>CRITICAL MASS</v>
      </c>
      <c r="FI3" s="3" t="str">
        <f>IFERROR(__xludf.DUMMYFUNCTION("IF(COUNTIF(FI6:FI1011, ""*Drums*"")*COUNTIF(FI6:FI1011, ""*Bass*"")*COUNTIF(FI6:FI1011, ""*Lead*"")&gt;0, ""CRITICAL MASS"", 
JOIN("", "", 
FILTER({""NO DRUMS"", ""NO BASS"", ""NO LEAD""}, 
ISERROR(SEARCH({""Drums"", ""Bass"", ""Lead""}, JOIN("" "", FILTER(F"&amp;"I6:FI1011, FI6:FI1011&lt;&gt;"""")))))))
"),"CRITICAL MASS")</f>
        <v>CRITICAL MASS</v>
      </c>
      <c r="FJ3" s="3" t="str">
        <f>IFERROR(__xludf.DUMMYFUNCTION("IF(COUNTIF(FJ6:FJ1011, ""*Drums*"")*COUNTIF(FJ6:FJ1011, ""*Bass*"")*COUNTIF(FJ6:FJ1011, ""*Lead*"")&gt;0, ""CRITICAL MASS"", 
JOIN("", "", 
FILTER({""NO DRUMS"", ""NO BASS"", ""NO LEAD""}, 
ISERROR(SEARCH({""Drums"", ""Bass"", ""Lead""}, JOIN("" "", FILTER(F"&amp;"J6:FJ1011, FJ6:FJ1011&lt;&gt;"""")))))))
"),"CRITICAL MASS")</f>
        <v>CRITICAL MASS</v>
      </c>
      <c r="FK3" s="3" t="str">
        <f>IFERROR(__xludf.DUMMYFUNCTION("IF(COUNTIF(FK6:FK1011, ""*Drums*"")*COUNTIF(FK6:FK1011, ""*Bass*"")*COUNTIF(FK6:FK1011, ""*Lead*"")&gt;0, ""CRITICAL MASS"", 
JOIN("", "", 
FILTER({""NO DRUMS"", ""NO BASS"", ""NO LEAD""}, 
ISERROR(SEARCH({""Drums"", ""Bass"", ""Lead""}, JOIN("" "", FILTER(F"&amp;"K6:FK1011, FK6:FK1011&lt;&gt;"""")))))))
"),"CRITICAL MASS")</f>
        <v>CRITICAL MASS</v>
      </c>
      <c r="FL3" s="3" t="str">
        <f>IFERROR(__xludf.DUMMYFUNCTION("IF(COUNTIF(FL6:FL1011, ""*Drums*"")*COUNTIF(FL6:FL1011, ""*Bass*"")*COUNTIF(FL6:FL1011, ""*Lead*"")&gt;0, ""CRITICAL MASS"", 
JOIN("", "", 
FILTER({""NO DRUMS"", ""NO BASS"", ""NO LEAD""}, 
ISERROR(SEARCH({""Drums"", ""Bass"", ""Lead""}, JOIN("" "", FILTER(F"&amp;"L6:FL1011, FL6:FL1011&lt;&gt;"""")))))))
"),"CRITICAL MASS")</f>
        <v>CRITICAL MASS</v>
      </c>
      <c r="FM3" s="3" t="str">
        <f>IFERROR(__xludf.DUMMYFUNCTION("IF(COUNTIF(FM6:FM1011, ""*Drums*"")*COUNTIF(FM6:FM1011, ""*Bass*"")*COUNTIF(FM6:FM1011, ""*Lead*"")&gt;0, ""CRITICAL MASS"", 
JOIN("", "", 
FILTER({""NO DRUMS"", ""NO BASS"", ""NO LEAD""}, 
ISERROR(SEARCH({""Drums"", ""Bass"", ""Lead""}, JOIN("" "", FILTER(F"&amp;"M6:FM1011, FM6:FM1011&lt;&gt;"""")))))))
"),"CRITICAL MASS")</f>
        <v>CRITICAL MASS</v>
      </c>
      <c r="FN3" s="3" t="str">
        <f>IFERROR(__xludf.DUMMYFUNCTION("IF(COUNTIF(FN6:FN1011, ""*Drums*"")*COUNTIF(FN6:FN1011, ""*Bass*"")*COUNTIF(FN6:FN1011, ""*Lead*"")&gt;0, ""CRITICAL MASS"", 
JOIN("", "", 
FILTER({""NO DRUMS"", ""NO BASS"", ""NO LEAD""}, 
ISERROR(SEARCH({""Drums"", ""Bass"", ""Lead""}, JOIN("" "", FILTER(F"&amp;"N6:FN1011, FN6:FN1011&lt;&gt;"""")))))))
"),"CRITICAL MASS")</f>
        <v>CRITICAL MASS</v>
      </c>
      <c r="FO3" s="3" t="str">
        <f>IFERROR(__xludf.DUMMYFUNCTION("IF(COUNTIF(FO6:FO1011, ""*Drums*"")*COUNTIF(FO6:FO1011, ""*Bass*"")*COUNTIF(FO6:FO1011, ""*Lead*"")&gt;0, ""CRITICAL MASS"", 
JOIN("", "", 
FILTER({""NO DRUMS"", ""NO BASS"", ""NO LEAD""}, 
ISERROR(SEARCH({""Drums"", ""Bass"", ""Lead""}, JOIN("" "", FILTER(F"&amp;"O6:FO1011, FO6:FO1011&lt;&gt;"""")))))))
"),"CRITICAL MASS")</f>
        <v>CRITICAL MASS</v>
      </c>
      <c r="FP3" s="3" t="str">
        <f>IFERROR(__xludf.DUMMYFUNCTION("IF(COUNTIF(FP6:FP1011, ""*Drums*"")*COUNTIF(FP6:FP1011, ""*Bass*"")*COUNTIF(FP6:FP1011, ""*Lead*"")&gt;0, ""CRITICAL MASS"", 
JOIN("", "", 
FILTER({""NO DRUMS"", ""NO BASS"", ""NO LEAD""}, 
ISERROR(SEARCH({""Drums"", ""Bass"", ""Lead""}, JOIN("" "", FILTER(F"&amp;"P6:FP1011, FP6:FP1011&lt;&gt;"""")))))))
"),"CRITICAL MASS")</f>
        <v>CRITICAL MASS</v>
      </c>
      <c r="FQ3" s="3" t="str">
        <f>IFERROR(__xludf.DUMMYFUNCTION("IF(COUNTIF(FQ6:FQ1011, ""*Drums*"")*COUNTIF(FQ6:FQ1011, ""*Bass*"")*COUNTIF(FQ6:FQ1011, ""*Lead*"")&gt;0, ""CRITICAL MASS"", 
JOIN("", "", 
FILTER({""NO DRUMS"", ""NO BASS"", ""NO LEAD""}, 
ISERROR(SEARCH({""Drums"", ""Bass"", ""Lead""}, JOIN("" "", FILTER(F"&amp;"Q6:FQ1011, FQ6:FQ1011&lt;&gt;"""")))))))
"),"CRITICAL MASS")</f>
        <v>CRITICAL MASS</v>
      </c>
      <c r="FR3" s="3" t="str">
        <f>IFERROR(__xludf.DUMMYFUNCTION("IF(COUNTIF(FR6:FR1011, ""*Drums*"")*COUNTIF(FR6:FR1011, ""*Bass*"")*COUNTIF(FR6:FR1011, ""*Lead*"")&gt;0, ""CRITICAL MASS"", 
JOIN("", "", 
FILTER({""NO DRUMS"", ""NO BASS"", ""NO LEAD""}, 
ISERROR(SEARCH({""Drums"", ""Bass"", ""Lead""}, JOIN("" "", FILTER(F"&amp;"R6:FR1011, FR6:FR1011&lt;&gt;"""")))))))
"),"CRITICAL MASS")</f>
        <v>CRITICAL MASS</v>
      </c>
      <c r="FS3" s="3" t="str">
        <f>IFERROR(__xludf.DUMMYFUNCTION("IF(COUNTIF(FS6:FS1011, ""*Drums*"")*COUNTIF(FS6:FS1011, ""*Bass*"")*COUNTIF(FS6:FS1011, ""*Lead*"")&gt;0, ""CRITICAL MASS"", 
JOIN("", "", 
FILTER({""NO DRUMS"", ""NO BASS"", ""NO LEAD""}, 
ISERROR(SEARCH({""Drums"", ""Bass"", ""Lead""}, JOIN("" "", FILTER(F"&amp;"S6:FS1011, FS6:FS1011&lt;&gt;"""")))))))
"),"CRITICAL MASS")</f>
        <v>CRITICAL MASS</v>
      </c>
      <c r="FT3" s="3" t="str">
        <f>IFERROR(__xludf.DUMMYFUNCTION("IF(COUNTIF(FT6:FT1011, ""*Drums*"")*COUNTIF(FT6:FT1011, ""*Bass*"")*COUNTIF(FT6:FT1011, ""*Lead*"")&gt;0, ""CRITICAL MASS"", 
JOIN("", "", 
FILTER({""NO DRUMS"", ""NO BASS"", ""NO LEAD""}, 
ISERROR(SEARCH({""Drums"", ""Bass"", ""Lead""}, JOIN("" "", FILTER(F"&amp;"T6:FT1011, FT6:FT1011&lt;&gt;"""")))))))
"),"CRITICAL MASS")</f>
        <v>CRITICAL MASS</v>
      </c>
      <c r="FU3" s="3" t="str">
        <f>IFERROR(__xludf.DUMMYFUNCTION("IF(COUNTIF(FU6:FU1011, ""*Drums*"")*COUNTIF(FU6:FU1011, ""*Bass*"")*COUNTIF(FU6:FU1011, ""*Lead*"")&gt;0, ""CRITICAL MASS"", 
JOIN("", "", 
FILTER({""NO DRUMS"", ""NO BASS"", ""NO LEAD""}, 
ISERROR(SEARCH({""Drums"", ""Bass"", ""Lead""}, JOIN("" "", FILTER(F"&amp;"U6:FU1011, FU6:FU1011&lt;&gt;"""")))))))
"),"NO DRUMS")</f>
        <v>NO DRUMS</v>
      </c>
      <c r="FV3" s="3" t="str">
        <f>IFERROR(__xludf.DUMMYFUNCTION("IF(COUNTIF(FV6:FV1011, ""*Drums*"")*COUNTIF(FV6:FV1011, ""*Bass*"")*COUNTIF(FV6:FV1011, ""*Lead*"")&gt;0, ""CRITICAL MASS"", 
JOIN("", "", 
FILTER({""NO DRUMS"", ""NO BASS"", ""NO LEAD""}, 
ISERROR(SEARCH({""Drums"", ""Bass"", ""Lead""}, JOIN("" "", FILTER(F"&amp;"V6:FV1011, FV6:FV1011&lt;&gt;"""")))))))
"),"CRITICAL MASS")</f>
        <v>CRITICAL MASS</v>
      </c>
      <c r="FW3" s="3" t="str">
        <f>IFERROR(__xludf.DUMMYFUNCTION("IF(COUNTIF(FW6:FW1011, ""*Drums*"")*COUNTIF(FW6:FW1011, ""*Bass*"")*COUNTIF(FW6:FW1011, ""*Lead*"")&gt;0, ""CRITICAL MASS"", 
JOIN("", "", 
FILTER({""NO DRUMS"", ""NO BASS"", ""NO LEAD""}, 
ISERROR(SEARCH({""Drums"", ""Bass"", ""Lead""}, JOIN("" "", FILTER(F"&amp;"W6:FW1011, FW6:FW1011&lt;&gt;"""")))))))
"),"CRITICAL MASS")</f>
        <v>CRITICAL MASS</v>
      </c>
      <c r="FX3" s="3"/>
      <c r="FY3" s="3" t="str">
        <f>IFERROR(__xludf.DUMMYFUNCTION("IF(COUNTIF(FY6:FY1011, ""*Drums*"")*COUNTIF(FY6:FY1011, ""*Bass*"")*COUNTIF(FY6:FY1011, ""*Lead*"")&gt;0, ""CRITICAL MASS"", 
JOIN("", "", 
FILTER({""NO DRUMS"", ""NO BASS"", ""NO LEAD""}, 
ISERROR(SEARCH({""Drums"", ""Bass"", ""Lead""}, JOIN("" "", FILTER(F"&amp;"Y6:FY1011, FY6:FY1011&lt;&gt;"""")))))))
"),"CRITICAL MASS")</f>
        <v>CRITICAL MASS</v>
      </c>
      <c r="FZ3" s="3" t="str">
        <f>IFERROR(__xludf.DUMMYFUNCTION("IF(COUNTIF(FZ6:FZ1011, ""*Drums*"")*COUNTIF(FZ6:FZ1011, ""*Bass*"")*COUNTIF(FZ6:FZ1011, ""*Lead*"")&gt;0, ""CRITICAL MASS"", 
JOIN("", "", 
FILTER({""NO DRUMS"", ""NO BASS"", ""NO LEAD""}, 
ISERROR(SEARCH({""Drums"", ""Bass"", ""Lead""}, JOIN("" "", FILTER(F"&amp;"Z6:FZ1011, FZ6:FZ1011&lt;&gt;"""")))))))
"),"CRITICAL MASS")</f>
        <v>CRITICAL MASS</v>
      </c>
      <c r="GA3" s="3" t="str">
        <f>IFERROR(__xludf.DUMMYFUNCTION("IF(COUNTIF(GA6:GA1011, ""*Drums*"")*COUNTIF(GA6:GA1011, ""*Bass*"")*COUNTIF(GA6:GA1011, ""*Lead*"")&gt;0, ""CRITICAL MASS"", 
JOIN("", "", 
FILTER({""NO DRUMS"", ""NO BASS"", ""NO LEAD""}, 
ISERROR(SEARCH({""Drums"", ""Bass"", ""Lead""}, JOIN("" "", FILTER(G"&amp;"A6:GA1011, GA6:GA1011&lt;&gt;"""")))))))
"),"CRITICAL MASS")</f>
        <v>CRITICAL MASS</v>
      </c>
      <c r="GB3" s="3" t="str">
        <f>IFERROR(__xludf.DUMMYFUNCTION("IF(COUNTIF(GB6:GB1011, ""*Drums*"")*COUNTIF(GB6:GB1011, ""*Bass*"")*COUNTIF(GB6:GB1011, ""*Lead*"")&gt;0, ""CRITICAL MASS"", 
JOIN("", "", 
FILTER({""NO DRUMS"", ""NO BASS"", ""NO LEAD""}, 
ISERROR(SEARCH({""Drums"", ""Bass"", ""Lead""}, JOIN("" "", FILTER(G"&amp;"B6:GB1011, GB6:GB1011&lt;&gt;"""")))))))
"),"CRITICAL MASS")</f>
        <v>CRITICAL MASS</v>
      </c>
      <c r="GC3" s="3" t="str">
        <f>IFERROR(__xludf.DUMMYFUNCTION("IF(COUNTIF(GC6:GC1011, ""*Drums*"")*COUNTIF(GC6:GC1011, ""*Bass*"")*COUNTIF(GC6:GC1011, ""*Lead*"")&gt;0, ""CRITICAL MASS"", 
JOIN("", "", 
FILTER({""NO DRUMS"", ""NO BASS"", ""NO LEAD""}, 
ISERROR(SEARCH({""Drums"", ""Bass"", ""Lead""}, JOIN("" "", FILTER(G"&amp;"C6:GC1011, GC6:GC1011&lt;&gt;"""")))))))
"),"CRITICAL MASS")</f>
        <v>CRITICAL MASS</v>
      </c>
      <c r="GD3" s="3" t="str">
        <f>IFERROR(__xludf.DUMMYFUNCTION("IF(COUNTIF(GD6:GD1011, ""*Drums*"")*COUNTIF(GD6:GD1011, ""*Bass*"")*COUNTIF(GD6:GD1011, ""*Lead*"")&gt;0, ""CRITICAL MASS"", 
JOIN("", "", 
FILTER({""NO DRUMS"", ""NO BASS"", ""NO LEAD""}, 
ISERROR(SEARCH({""Drums"", ""Bass"", ""Lead""}, JOIN("" "", FILTER(G"&amp;"D6:GD1011, GD6:GD1011&lt;&gt;"""")))))))
"),"CRITICAL MASS")</f>
        <v>CRITICAL MASS</v>
      </c>
      <c r="GE3" s="3" t="str">
        <f>IFERROR(__xludf.DUMMYFUNCTION("IF(COUNTIF(GE6:GE1011, ""*Drums*"")*COUNTIF(GE6:GE1011, ""*Bass*"")*COUNTIF(GE6:GE1011, ""*Lead*"")&gt;0, ""CRITICAL MASS"", 
JOIN("", "", 
FILTER({""NO DRUMS"", ""NO BASS"", ""NO LEAD""}, 
ISERROR(SEARCH({""Drums"", ""Bass"", ""Lead""}, JOIN("" "", FILTER(G"&amp;"E6:GE1011, GE6:GE1011&lt;&gt;"""")))))))
"),"CRITICAL MASS")</f>
        <v>CRITICAL MASS</v>
      </c>
      <c r="GF3" s="3" t="str">
        <f>IFERROR(__xludf.DUMMYFUNCTION("IF(COUNTIF(GF6:GF1011, ""*Drums*"")*COUNTIF(GF6:GF1011, ""*Bass*"")*COUNTIF(GF6:GF1011, ""*Lead*"")&gt;0, ""CRITICAL MASS"", 
JOIN("", "", 
FILTER({""NO DRUMS"", ""NO BASS"", ""NO LEAD""}, 
ISERROR(SEARCH({""Drums"", ""Bass"", ""Lead""}, JOIN("" "", FILTER(G"&amp;"F6:GF1011, GF6:GF1011&lt;&gt;"""")))))))
"),"CRITICAL MASS")</f>
        <v>CRITICAL MASS</v>
      </c>
      <c r="GG3" s="3" t="str">
        <f>IFERROR(__xludf.DUMMYFUNCTION("IF(COUNTIF(GG6:GG1011, ""*Drums*"")*COUNTIF(GG6:GG1011, ""*Bass*"")*COUNTIF(GG6:GG1011, ""*Lead*"")&gt;0, ""CRITICAL MASS"", 
JOIN("", "", 
FILTER({""NO DRUMS"", ""NO BASS"", ""NO LEAD""}, 
ISERROR(SEARCH({""Drums"", ""Bass"", ""Lead""}, JOIN("" "", FILTER(G"&amp;"G6:GG1011, GG6:GG1011&lt;&gt;"""")))))))
"),"CRITICAL MASS")</f>
        <v>CRITICAL MASS</v>
      </c>
      <c r="GH3" s="3" t="str">
        <f>IFERROR(__xludf.DUMMYFUNCTION("IF(COUNTIF(GH6:GH1011, ""*Drums*"")*COUNTIF(GH6:GH1011, ""*Bass*"")*COUNTIF(GH6:GH1011, ""*Lead*"")&gt;0, ""CRITICAL MASS"", 
JOIN("", "", 
FILTER({""NO DRUMS"", ""NO BASS"", ""NO LEAD""}, 
ISERROR(SEARCH({""Drums"", ""Bass"", ""Lead""}, JOIN("" "", FILTER(G"&amp;"H6:GH1011, GH6:GH1011&lt;&gt;"""")))))))
"),"CRITICAL MASS")</f>
        <v>CRITICAL MASS</v>
      </c>
      <c r="GI3" s="3" t="str">
        <f>IFERROR(__xludf.DUMMYFUNCTION("IF(COUNTIF(GI6:GI1011, ""*Drums*"")*COUNTIF(GI6:GI1011, ""*Bass*"")*COUNTIF(GI6:GI1011, ""*Lead*"")&gt;0, ""CRITICAL MASS"", 
JOIN("", "", 
FILTER({""NO DRUMS"", ""NO BASS"", ""NO LEAD""}, 
ISERROR(SEARCH({""Drums"", ""Bass"", ""Lead""}, JOIN("" "", FILTER(G"&amp;"I6:GI1011, GI6:GI1011&lt;&gt;"""")))))))
"),"CRITICAL MASS")</f>
        <v>CRITICAL MASS</v>
      </c>
      <c r="GJ3" s="3" t="str">
        <f>IFERROR(__xludf.DUMMYFUNCTION("IF(COUNTIF(GJ6:GJ1011, ""*Drums*"")*COUNTIF(GJ6:GJ1011, ""*Bass*"")*COUNTIF(GJ6:GJ1011, ""*Lead*"")&gt;0, ""CRITICAL MASS"", 
JOIN("", "", 
FILTER({""NO DRUMS"", ""NO BASS"", ""NO LEAD""}, 
ISERROR(SEARCH({""Drums"", ""Bass"", ""Lead""}, JOIN("" "", FILTER(G"&amp;"J6:GJ1011, GJ6:GJ1011&lt;&gt;"""")))))))
"),"CRITICAL MASS")</f>
        <v>CRITICAL MASS</v>
      </c>
      <c r="GK3" s="3" t="str">
        <f>IFERROR(__xludf.DUMMYFUNCTION("IF(COUNTIF(GK6:GK1011, ""*Drums*"")*COUNTIF(GK6:GK1011, ""*Bass*"")*COUNTIF(GK6:GK1011, ""*Lead*"")&gt;0, ""CRITICAL MASS"", 
JOIN("", "", 
FILTER({""NO DRUMS"", ""NO BASS"", ""NO LEAD""}, 
ISERROR(SEARCH({""Drums"", ""Bass"", ""Lead""}, JOIN("" "", FILTER(G"&amp;"K6:GK1011, GK6:GK1011&lt;&gt;"""")))))))
"),"CRITICAL MASS")</f>
        <v>CRITICAL MASS</v>
      </c>
      <c r="GL3" s="3" t="str">
        <f>IFERROR(__xludf.DUMMYFUNCTION("IF(COUNTIF(GL6:GL1011, ""*Drums*"")*COUNTIF(GL6:GL1011, ""*Bass*"")*COUNTIF(GL6:GL1011, ""*Lead*"")&gt;0, ""CRITICAL MASS"", 
JOIN("", "", 
FILTER({""NO DRUMS"", ""NO BASS"", ""NO LEAD""}, 
ISERROR(SEARCH({""Drums"", ""Bass"", ""Lead""}, JOIN("" "", FILTER(G"&amp;"L6:GL1011, GL6:GL1011&lt;&gt;"""")))))))
"),"CRITICAL MASS")</f>
        <v>CRITICAL MASS</v>
      </c>
      <c r="GM3" s="3" t="str">
        <f>IFERROR(__xludf.DUMMYFUNCTION("IF(COUNTIF(GM6:GM1011, ""*Drums*"")*COUNTIF(GM6:GM1011, ""*Bass*"")*COUNTIF(GM6:GM1011, ""*Lead*"")&gt;0, ""CRITICAL MASS"", 
JOIN("", "", 
FILTER({""NO DRUMS"", ""NO BASS"", ""NO LEAD""}, 
ISERROR(SEARCH({""Drums"", ""Bass"", ""Lead""}, JOIN("" "", FILTER(G"&amp;"M6:GM1011, GM6:GM1011&lt;&gt;"""")))))))
"),"CRITICAL MASS")</f>
        <v>CRITICAL MASS</v>
      </c>
      <c r="GN3" s="3" t="str">
        <f>IFERROR(__xludf.DUMMYFUNCTION("IF(COUNTIF(GN6:GN1011, ""*Drums*"")*COUNTIF(GN6:GN1011, ""*Bass*"")*COUNTIF(GN6:GN1011, ""*Lead*"")&gt;0, ""CRITICAL MASS"", 
JOIN("", "", 
FILTER({""NO DRUMS"", ""NO BASS"", ""NO LEAD""}, 
ISERROR(SEARCH({""Drums"", ""Bass"", ""Lead""}, JOIN("" "", FILTER(G"&amp;"N6:GN1011, GN6:GN1011&lt;&gt;"""")))))))
"),"CRITICAL MASS")</f>
        <v>CRITICAL MASS</v>
      </c>
      <c r="GO3" s="3" t="str">
        <f>IFERROR(__xludf.DUMMYFUNCTION("IF(COUNTIF(GO6:GO1011, ""*Drums*"")*COUNTIF(GO6:GO1011, ""*Bass*"")*COUNTIF(GO6:GO1011, ""*Lead*"")&gt;0, ""CRITICAL MASS"", 
JOIN("", "", 
FILTER({""NO DRUMS"", ""NO BASS"", ""NO LEAD""}, 
ISERROR(SEARCH({""Drums"", ""Bass"", ""Lead""}, JOIN("" "", FILTER(G"&amp;"O6:GO1011, GO6:GO1011&lt;&gt;"""")))))))
"),"CRITICAL MASS")</f>
        <v>CRITICAL MASS</v>
      </c>
      <c r="GP3" s="3" t="str">
        <f>IFERROR(__xludf.DUMMYFUNCTION("IF(COUNTIF(GP6:GP1011, ""*Drums*"")*COUNTIF(GP6:GP1011, ""*Bass*"")*COUNTIF(GP6:GP1011, ""*Lead*"")&gt;0, ""CRITICAL MASS"", 
JOIN("", "", 
FILTER({""NO DRUMS"", ""NO BASS"", ""NO LEAD""}, 
ISERROR(SEARCH({""Drums"", ""Bass"", ""Lead""}, JOIN("" "", FILTER(G"&amp;"P6:GP1011, GP6:GP1011&lt;&gt;"""")))))))
"),"CRITICAL MASS")</f>
        <v>CRITICAL MASS</v>
      </c>
      <c r="GQ3" s="3" t="str">
        <f>IFERROR(__xludf.DUMMYFUNCTION("IF(COUNTIF(GQ6:GQ1011, ""*Drums*"")*COUNTIF(GQ6:GQ1011, ""*Bass*"")*COUNTIF(GQ6:GQ1011, ""*Lead*"")&gt;0, ""CRITICAL MASS"", 
JOIN("", "", 
FILTER({""NO DRUMS"", ""NO BASS"", ""NO LEAD""}, 
ISERROR(SEARCH({""Drums"", ""Bass"", ""Lead""}, JOIN("" "", FILTER(G"&amp;"Q6:GQ1011, GQ6:GQ1011&lt;&gt;"""")))))))
"),"CRITICAL MASS")</f>
        <v>CRITICAL MASS</v>
      </c>
      <c r="GR3" s="3" t="str">
        <f>IFERROR(__xludf.DUMMYFUNCTION("IF(COUNTIF(GR6:GR1011, ""*Drums*"")*COUNTIF(GR6:GR1011, ""*Bass*"")*COUNTIF(GR6:GR1011, ""*Lead*"")&gt;0, ""CRITICAL MASS"", 
JOIN("", "", 
FILTER({""NO DRUMS"", ""NO BASS"", ""NO LEAD""}, 
ISERROR(SEARCH({""Drums"", ""Bass"", ""Lead""}, JOIN("" "", FILTER(G"&amp;"R6:GR1011, GR6:GR1011&lt;&gt;"""")))))))
"),"CRITICAL MASS")</f>
        <v>CRITICAL MASS</v>
      </c>
      <c r="GS3" s="3" t="str">
        <f>IFERROR(__xludf.DUMMYFUNCTION("IF(COUNTIF(GS6:GS1011, ""*Drums*"")*COUNTIF(GS6:GS1011, ""*Bass*"")*COUNTIF(GS6:GS1011, ""*Lead*"")&gt;0, ""CRITICAL MASS"", 
JOIN("", "", 
FILTER({""NO DRUMS"", ""NO BASS"", ""NO LEAD""}, 
ISERROR(SEARCH({""Drums"", ""Bass"", ""Lead""}, JOIN("" "", FILTER(G"&amp;"S6:GS1011, GS6:GS1011&lt;&gt;"""")))))))
"),"CRITICAL MASS")</f>
        <v>CRITICAL MASS</v>
      </c>
      <c r="GT3" s="3" t="str">
        <f>IFERROR(__xludf.DUMMYFUNCTION("IF(COUNTIF(GT6:GT1011, ""*Drums*"")*COUNTIF(GT6:GT1011, ""*Bass*"")*COUNTIF(GT6:GT1011, ""*Lead*"")&gt;0, ""CRITICAL MASS"", 
JOIN("", "", 
FILTER({""NO DRUMS"", ""NO BASS"", ""NO LEAD""}, 
ISERROR(SEARCH({""Drums"", ""Bass"", ""Lead""}, JOIN("" "", FILTER(G"&amp;"T6:GT1011, GT6:GT1011&lt;&gt;"""")))))))
"),"CRITICAL MASS")</f>
        <v>CRITICAL MASS</v>
      </c>
      <c r="GU3" s="3" t="str">
        <f>IFERROR(__xludf.DUMMYFUNCTION("IF(COUNTIF(GU6:GU1011, ""*Drums*"")*COUNTIF(GU6:GU1011, ""*Bass*"")*COUNTIF(GU6:GU1011, ""*Lead*"")&gt;0, ""CRITICAL MASS"", 
JOIN("", "", 
FILTER({""NO DRUMS"", ""NO BASS"", ""NO LEAD""}, 
ISERROR(SEARCH({""Drums"", ""Bass"", ""Lead""}, JOIN("" "", FILTER(G"&amp;"U6:GU1011, GU6:GU1011&lt;&gt;"""")))))))
"),"CRITICAL MASS")</f>
        <v>CRITICAL MASS</v>
      </c>
      <c r="GV3" s="3" t="str">
        <f>IFERROR(__xludf.DUMMYFUNCTION("IF(COUNTIF(GV6:GV1011, ""*Drums*"")*COUNTIF(GV6:GV1011, ""*Bass*"")*COUNTIF(GV6:GV1011, ""*Lead*"")&gt;0, ""CRITICAL MASS"", 
JOIN("", "", 
FILTER({""NO DRUMS"", ""NO BASS"", ""NO LEAD""}, 
ISERROR(SEARCH({""Drums"", ""Bass"", ""Lead""}, JOIN("" "", FILTER(G"&amp;"V6:GV1011, GV6:GV1011&lt;&gt;"""")))))))
"),"CRITICAL MASS")</f>
        <v>CRITICAL MASS</v>
      </c>
      <c r="GW3" s="3" t="str">
        <f>IFERROR(__xludf.DUMMYFUNCTION("IF(COUNTIF(GW6:GW1011, ""*Drums*"")*COUNTIF(GW6:GW1011, ""*Bass*"")*COUNTIF(GW6:GW1011, ""*Lead*"")&gt;0, ""CRITICAL MASS"", 
JOIN("", "", 
FILTER({""NO DRUMS"", ""NO BASS"", ""NO LEAD""}, 
ISERROR(SEARCH({""Drums"", ""Bass"", ""Lead""}, JOIN("" "", FILTER(G"&amp;"W6:GW1011, GW6:GW1011&lt;&gt;"""")))))))
"),"CRITICAL MASS")</f>
        <v>CRITICAL MASS</v>
      </c>
      <c r="GX3" s="3" t="str">
        <f>IFERROR(__xludf.DUMMYFUNCTION("IF(COUNTIF(GX6:GX1011, ""*Drums*"")*COUNTIF(GX6:GX1011, ""*Bass*"")*COUNTIF(GX6:GX1011, ""*Lead*"")&gt;0, ""CRITICAL MASS"", 
JOIN("", "", 
FILTER({""NO DRUMS"", ""NO BASS"", ""NO LEAD""}, 
ISERROR(SEARCH({""Drums"", ""Bass"", ""Lead""}, JOIN("" "", FILTER(G"&amp;"X6:GX1011, GX6:GX1011&lt;&gt;"""")))))))
"),"CRITICAL MASS")</f>
        <v>CRITICAL MASS</v>
      </c>
      <c r="GY3" s="3" t="str">
        <f>IFERROR(__xludf.DUMMYFUNCTION("IF(COUNTIF(GY6:GY1011, ""*Drums*"")*COUNTIF(GY6:GY1011, ""*Bass*"")*COUNTIF(GY6:GY1011, ""*Lead*"")&gt;0, ""CRITICAL MASS"", 
JOIN("", "", 
FILTER({""NO DRUMS"", ""NO BASS"", ""NO LEAD""}, 
ISERROR(SEARCH({""Drums"", ""Bass"", ""Lead""}, JOIN("" "", FILTER(G"&amp;"Y6:GY1011, GY6:GY1011&lt;&gt;"""")))))))
"),"CRITICAL MASS")</f>
        <v>CRITICAL MASS</v>
      </c>
      <c r="GZ3" s="3" t="str">
        <f>IFERROR(__xludf.DUMMYFUNCTION("IF(COUNTIF(GZ6:GZ1011, ""*Drums*"")*COUNTIF(GZ6:GZ1011, ""*Bass*"")*COUNTIF(GZ6:GZ1011, ""*Lead*"")&gt;0, ""CRITICAL MASS"", 
JOIN("", "", 
FILTER({""NO DRUMS"", ""NO BASS"", ""NO LEAD""}, 
ISERROR(SEARCH({""Drums"", ""Bass"", ""Lead""}, JOIN("" "", FILTER(G"&amp;"Z6:GZ1011, GZ6:GZ1011&lt;&gt;"""")))))))
"),"CRITICAL MASS")</f>
        <v>CRITICAL MASS</v>
      </c>
      <c r="HA3" s="3" t="str">
        <f>IFERROR(__xludf.DUMMYFUNCTION("IF(COUNTIF(HA6:HA1011, ""*Drums*"")*COUNTIF(HA6:HA1011, ""*Bass*"")*COUNTIF(HA6:HA1011, ""*Lead*"")&gt;0, ""CRITICAL MASS"", 
JOIN("", "", 
FILTER({""NO DRUMS"", ""NO BASS"", ""NO LEAD""}, 
ISERROR(SEARCH({""Drums"", ""Bass"", ""Lead""}, JOIN("" "", FILTER(H"&amp;"A6:HA1011, HA6:HA1011&lt;&gt;"""")))))))
"),"CRITICAL MASS")</f>
        <v>CRITICAL MASS</v>
      </c>
      <c r="HB3" s="3" t="str">
        <f>IFERROR(__xludf.DUMMYFUNCTION("IF(COUNTIF(HB5:HB1011, ""*Drums*"")*COUNTIF(HB5:HB1011, ""*Bass*"")*COUNTIF(HB5:HB1011, ""*Lead*"")&gt;0, ""CRITICAL MASS"", 
JOIN("", "", 
FILTER({""NO DRUMS"", ""NO BASS"", ""NO LEAD""}, 
ISERROR(SEARCH({""Drums"", ""Bass"", ""Lead""}, JOIN("" "", FILTER(H"&amp;"B5:HB1011, HB5:HB1011&lt;&gt;"""")))))))
"),"CRITICAL MASS")</f>
        <v>CRITICAL MASS</v>
      </c>
      <c r="HC3" s="3" t="str">
        <f>IFERROR(__xludf.DUMMYFUNCTION("IF(COUNTIF(HC5:HC1011, ""*Drums*"")*COUNTIF(HC5:HC1011, ""*Bass*"")*COUNTIF(HC5:HC1011, ""*Lead*"")&gt;0, ""CRITICAL MASS"", 
JOIN("", "", 
FILTER({""NO DRUMS"", ""NO BASS"", ""NO LEAD""}, 
ISERROR(SEARCH({""Drums"", ""Bass"", ""Lead""}, JOIN("" "", FILTER(H"&amp;"C5:HC1011, HC5:HC1011&lt;&gt;"""")))))))
"),"CRITICAL MASS")</f>
        <v>CRITICAL MASS</v>
      </c>
      <c r="HD3" s="3" t="str">
        <f>IFERROR(__xludf.DUMMYFUNCTION("IF(COUNTIF(HD5:HD1011, ""*Drums*"")*COUNTIF(HD5:HD1011, ""*Bass*"")*COUNTIF(HD5:HD1011, ""*Lead*"")&gt;0, ""CRITICAL MASS"", 
JOIN("", "", 
FILTER({""NO DRUMS"", ""NO BASS"", ""NO LEAD""}, 
ISERROR(SEARCH({""Drums"", ""Bass"", ""Lead""}, JOIN("" "", FILTER(H"&amp;"D5:HD1011, HD5:HD1011&lt;&gt;"""")))))))
"),"CRITICAL MASS")</f>
        <v>CRITICAL MASS</v>
      </c>
      <c r="HE3" s="3" t="str">
        <f>IFERROR(__xludf.DUMMYFUNCTION("IF(COUNTIF(HE5:HE1011, ""*Drums*"")*COUNTIF(HE5:HE1011, ""*Bass*"")*COUNTIF(HE5:HE1011, ""*Lead*"")&gt;0, ""CRITICAL MASS"", 
JOIN("", "", 
FILTER({""NO DRUMS"", ""NO BASS"", ""NO LEAD""}, 
ISERROR(SEARCH({""Drums"", ""Bass"", ""Lead""}, JOIN("" "", FILTER(H"&amp;"E5:HE1011, HE5:HE1011&lt;&gt;"""")))))))
"),"CRITICAL MASS")</f>
        <v>CRITICAL MASS</v>
      </c>
      <c r="HF3" s="3" t="str">
        <f>IFERROR(__xludf.DUMMYFUNCTION("IF(COUNTIF(HF5:HF1011, ""*Drums*"")*COUNTIF(HF5:HF1011, ""*Bass*"")*COUNTIF(HF5:HF1011, ""*Lead*"")&gt;0, ""CRITICAL MASS"", 
JOIN("", "", 
FILTER({""NO DRUMS"", ""NO BASS"", ""NO LEAD""}, 
ISERROR(SEARCH({""Drums"", ""Bass"", ""Lead""}, JOIN("" "", FILTER(H"&amp;"F5:HF1011, HF5:HF1011&lt;&gt;"""")))))))
"),"CRITICAL MASS")</f>
        <v>CRITICAL MASS</v>
      </c>
      <c r="HG3" s="3" t="str">
        <f>IFERROR(__xludf.DUMMYFUNCTION("IF(COUNTIF(HG5:HG1011, ""*Drums*"")*COUNTIF(HG5:HG1011, ""*Bass*"")*COUNTIF(HG5:HG1011, ""*Lead*"")&gt;0, ""CRITICAL MASS"", 
JOIN("", "", 
FILTER({""NO DRUMS"", ""NO BASS"", ""NO LEAD""}, 
ISERROR(SEARCH({""Drums"", ""Bass"", ""Lead""}, JOIN("" "", FILTER(H"&amp;"G5:HG1011, HG5:HG1011&lt;&gt;"""")))))))
"),"CRITICAL MASS")</f>
        <v>CRITICAL MASS</v>
      </c>
      <c r="HH3" s="3" t="str">
        <f>IFERROR(__xludf.DUMMYFUNCTION("IF(COUNTIF(HH5:HH1011, ""*Drums*"")*COUNTIF(HH5:HH1011, ""*Bass*"")*COUNTIF(HH5:HH1011, ""*Lead*"")&gt;0, ""CRITICAL MASS"", 
JOIN("", "", 
FILTER({""NO DRUMS"", ""NO BASS"", ""NO LEAD""}, 
ISERROR(SEARCH({""Drums"", ""Bass"", ""Lead""}, JOIN("" "", FILTER(H"&amp;"H5:HH1011, HH5:HH1011&lt;&gt;"""")))))))
"),"CRITICAL MASS")</f>
        <v>CRITICAL MASS</v>
      </c>
      <c r="HI3" s="3" t="str">
        <f>IFERROR(__xludf.DUMMYFUNCTION("IF(COUNTIF(HI5:HI1011, ""*Drums*"")*COUNTIF(HI5:HI1011, ""*Bass*"")*COUNTIF(HI5:HI1011, ""*Lead*"")&gt;0, ""CRITICAL MASS"", 
JOIN("", "", 
FILTER({""NO DRUMS"", ""NO BASS"", ""NO LEAD""}, 
ISERROR(SEARCH({""Drums"", ""Bass"", ""Lead""}, JOIN("" "", FILTER(H"&amp;"I5:HI1011, HI5:HI1011&lt;&gt;"""")))))))
"),"NO DRUMS")</f>
        <v>NO DRUMS</v>
      </c>
      <c r="HJ3" s="3" t="str">
        <f>IFERROR(__xludf.DUMMYFUNCTION("IF(COUNTIF(HJ5:HJ1011, ""*Drums*"")*COUNTIF(HJ5:HJ1011, ""*Bass*"")*COUNTIF(HJ5:HJ1011, ""*Lead*"")&gt;0, ""CRITICAL MASS"", 
JOIN("", "", 
FILTER({""NO DRUMS"", ""NO BASS"", ""NO LEAD""}, 
ISERROR(SEARCH({""Drums"", ""Bass"", ""Lead""}, JOIN("" "", FILTER(H"&amp;"J5:HJ1011, HJ5:HJ1011&lt;&gt;"""")))))))
"),"NO DRUMS")</f>
        <v>NO DRUMS</v>
      </c>
      <c r="HK3" s="3" t="str">
        <f>IFERROR(__xludf.DUMMYFUNCTION("IF(COUNTIF(HK5:HK1011, ""*Drums*"")*COUNTIF(HK5:HK1011, ""*Bass*"")*COUNTIF(HK5:HK1011, ""*Lead*"")&gt;0, ""CRITICAL MASS"", 
JOIN("", "", 
FILTER({""NO DRUMS"", ""NO BASS"", ""NO LEAD""}, 
ISERROR(SEARCH({""Drums"", ""Bass"", ""Lead""}, JOIN("" "", FILTER(H"&amp;"K5:HK1011, HK5:HK1011&lt;&gt;"""")))))))
"),"NO DRUMS")</f>
        <v>NO DRUMS</v>
      </c>
      <c r="HL3" s="3" t="str">
        <f>IFERROR(__xludf.DUMMYFUNCTION("IF(COUNTIF(HL5:HL1011, ""*Drums*"")*COUNTIF(HL5:HL1011, ""*Bass*"")*COUNTIF(HL5:HL1011, ""*Lead*"")&gt;0, ""CRITICAL MASS"", 
JOIN("", "", 
FILTER({""NO DRUMS"", ""NO BASS"", ""NO LEAD""}, 
ISERROR(SEARCH({""Drums"", ""Bass"", ""Lead""}, JOIN("" "", FILTER(H"&amp;"L5:HL1011, HL5:HL1011&lt;&gt;"""")))))))
"),"NO DRUMS, NO BASS")</f>
        <v>NO DRUMS, NO BASS</v>
      </c>
      <c r="HM3" s="3" t="str">
        <f>IFERROR(__xludf.DUMMYFUNCTION("IF(COUNTIF(HM5:HM1011, ""*Drums*"")*COUNTIF(HM5:HM1011, ""*Bass*"")*COUNTIF(HM5:HM1011, ""*Lead*"")&gt;0, ""CRITICAL MASS"", 
JOIN("", "", 
FILTER({""NO DRUMS"", ""NO BASS"", ""NO LEAD""}, 
ISERROR(SEARCH({""Drums"", ""Bass"", ""Lead""}, JOIN("" "", FILTER(H"&amp;"M5:HM1011, HM5:HM1011&lt;&gt;"""")))))))
"),"NO DRUMS, NO BASS")</f>
        <v>NO DRUMS, NO BASS</v>
      </c>
      <c r="HN3" s="3" t="str">
        <f>IFERROR(__xludf.DUMMYFUNCTION("IF(COUNTIF(HN5:HN1011, ""*Drums*"")*COUNTIF(HN5:HN1011, ""*Bass*"")*COUNTIF(HN5:HN1011, ""*Lead*"")&gt;0, ""CRITICAL MASS"", 
JOIN("", "", 
FILTER({""NO DRUMS"", ""NO BASS"", ""NO LEAD""}, 
ISERROR(SEARCH({""Drums"", ""Bass"", ""Lead""}, JOIN("" "", FILTER(H"&amp;"N5:HN1011, HN5:HN1011&lt;&gt;"""")))))))
"),"NO DRUMS, NO BASS")</f>
        <v>NO DRUMS, NO BASS</v>
      </c>
      <c r="HO3" s="3" t="str">
        <f>IFERROR(__xludf.DUMMYFUNCTION("IF(COUNTIF(HO5:HO1011, ""*Drums*"")*COUNTIF(HO5:HO1011, ""*Bass*"")*COUNTIF(HO5:HO1011, ""*Lead*"")&gt;0, ""CRITICAL MASS"", 
JOIN("", "", 
FILTER({""NO DRUMS"", ""NO BASS"", ""NO LEAD""}, 
ISERROR(SEARCH({""Drums"", ""Bass"", ""Lead""}, JOIN("" "", FILTER(H"&amp;"O5:HO1011, HO5:HO1011&lt;&gt;"""")))))))
"),"NO DRUMS, NO BASS")</f>
        <v>NO DRUMS, NO BASS</v>
      </c>
      <c r="HP3" s="3" t="str">
        <f>IFERROR(__xludf.DUMMYFUNCTION("IF(COUNTIF(HP5:HP1011, ""*Drums*"")*COUNTIF(HP5:HP1011, ""*Bass*"")*COUNTIF(HP5:HP1011, ""*Lead*"")&gt;0, ""CRITICAL MASS"", 
JOIN("", "", 
FILTER({""NO DRUMS"", ""NO BASS"", ""NO LEAD""}, 
ISERROR(SEARCH({""Drums"", ""Bass"", ""Lead""}, JOIN("" "", FILTER(H"&amp;"P5:HP1011, HP5:HP1011&lt;&gt;"""")))))))
"),"NO DRUMS, NO BASS")</f>
        <v>NO DRUMS, NO BASS</v>
      </c>
      <c r="HQ3" s="3" t="str">
        <f>IFERROR(__xludf.DUMMYFUNCTION("IF(COUNTIF(HQ5:HQ1011, ""*Drums*"")*COUNTIF(HQ5:HQ1011, ""*Bass*"")*COUNTIF(HQ5:HQ1011, ""*Lead*"")&gt;0, ""CRITICAL MASS"", 
JOIN("", "", 
FILTER({""NO DRUMS"", ""NO BASS"", ""NO LEAD""}, 
ISERROR(SEARCH({""Drums"", ""Bass"", ""Lead""}, JOIN("" "", FILTER(H"&amp;"Q5:HQ1011, HQ5:HQ1011&lt;&gt;"""")))))))
"),"NO DRUMS, NO BASS")</f>
        <v>NO DRUMS, NO BASS</v>
      </c>
      <c r="HR3" s="3" t="str">
        <f>IFERROR(__xludf.DUMMYFUNCTION("IF(COUNTIF(HR5:HR1011, ""*Drums*"")*COUNTIF(HR5:HR1011, ""*Bass*"")*COUNTIF(HR5:HR1011, ""*Lead*"")&gt;0, ""CRITICAL MASS"", 
JOIN("", "", 
FILTER({""NO DRUMS"", ""NO BASS"", ""NO LEAD""}, 
ISERROR(SEARCH({""Drums"", ""Bass"", ""Lead""}, JOIN("" "", FILTER(H"&amp;"R5:HR1011, HR5:HR1011&lt;&gt;"""")))))))
"),"NO DRUMS, NO BASS")</f>
        <v>NO DRUMS, NO BASS</v>
      </c>
      <c r="HS3" s="3" t="str">
        <f>IFERROR(__xludf.DUMMYFUNCTION("IF(COUNTIF(HS5:HS1011, ""*Drums*"")*COUNTIF(HS5:HS1011, ""*Bass*"")*COUNTIF(HS5:HS1011, ""*Lead*"")&gt;0, ""CRITICAL MASS"", 
JOIN("", "", 
FILTER({""NO DRUMS"", ""NO BASS"", ""NO LEAD""}, 
ISERROR(SEARCH({""Drums"", ""Bass"", ""Lead""}, JOIN("" "", FILTER(H"&amp;"S5:HS1011, HS5:HS1011&lt;&gt;"""")))))))
"),"NO DRUMS, NO BASS")</f>
        <v>NO DRUMS, NO BASS</v>
      </c>
      <c r="HT3" s="3" t="str">
        <f>IFERROR(__xludf.DUMMYFUNCTION("IF(COUNTIF(HT5:HT1011, ""*Drums*"")*COUNTIF(HT5:HT1011, ""*Bass*"")*COUNTIF(HT5:HT1011, ""*Lead*"")&gt;0, ""CRITICAL MASS"", 
JOIN("", "", 
FILTER({""NO DRUMS"", ""NO BASS"", ""NO LEAD""}, 
ISERROR(SEARCH({""Drums"", ""Bass"", ""Lead""}, JOIN("" "", FILTER(H"&amp;"T5:HT1011, HT5:HT1011&lt;&gt;"""")))))))
"),"NO DRUMS, NO BASS")</f>
        <v>NO DRUMS, NO BASS</v>
      </c>
    </row>
    <row r="4">
      <c r="A4" s="1"/>
      <c r="B4" s="2" t="s">
        <v>6</v>
      </c>
      <c r="C4" s="2" t="s">
        <v>7</v>
      </c>
      <c r="D4" s="2" t="s">
        <v>8</v>
      </c>
      <c r="E4" s="2"/>
      <c r="F4" s="15" t="s">
        <v>9</v>
      </c>
      <c r="G4" s="16" t="s">
        <v>10</v>
      </c>
      <c r="H4" s="16" t="s">
        <v>11</v>
      </c>
      <c r="I4" s="16" t="s">
        <v>12</v>
      </c>
      <c r="J4" s="16" t="s">
        <v>9</v>
      </c>
      <c r="K4" s="16" t="s">
        <v>13</v>
      </c>
      <c r="L4" s="16" t="s">
        <v>11</v>
      </c>
      <c r="M4" s="16" t="s">
        <v>14</v>
      </c>
      <c r="N4" s="16" t="s">
        <v>12</v>
      </c>
      <c r="O4" s="16" t="s">
        <v>9</v>
      </c>
      <c r="P4" s="16" t="s">
        <v>15</v>
      </c>
      <c r="Q4" s="16" t="s">
        <v>16</v>
      </c>
      <c r="R4" s="17" t="s">
        <v>17</v>
      </c>
      <c r="S4" s="18" t="s">
        <v>18</v>
      </c>
      <c r="T4" s="18" t="s">
        <v>19</v>
      </c>
      <c r="U4" s="18" t="s">
        <v>20</v>
      </c>
      <c r="V4" s="18" t="s">
        <v>21</v>
      </c>
      <c r="W4" s="18" t="s">
        <v>22</v>
      </c>
      <c r="X4" s="18" t="s">
        <v>23</v>
      </c>
      <c r="Y4" s="18" t="s">
        <v>24</v>
      </c>
      <c r="Z4" s="18" t="s">
        <v>25</v>
      </c>
      <c r="AA4" s="18" t="s">
        <v>26</v>
      </c>
      <c r="AB4" s="18" t="s">
        <v>27</v>
      </c>
      <c r="AC4" s="18" t="s">
        <v>23</v>
      </c>
      <c r="AD4" s="18" t="s">
        <v>24</v>
      </c>
      <c r="AE4" s="18" t="s">
        <v>28</v>
      </c>
      <c r="AF4" s="18" t="s">
        <v>27</v>
      </c>
      <c r="AG4" s="18" t="s">
        <v>23</v>
      </c>
      <c r="AH4" s="18" t="s">
        <v>24</v>
      </c>
      <c r="AI4" s="18" t="s">
        <v>28</v>
      </c>
      <c r="AJ4" s="18" t="s">
        <v>29</v>
      </c>
      <c r="AK4" s="18" t="s">
        <v>23</v>
      </c>
      <c r="AL4" s="18" t="s">
        <v>24</v>
      </c>
      <c r="AM4" s="18" t="s">
        <v>25</v>
      </c>
      <c r="AN4" s="18" t="s">
        <v>28</v>
      </c>
      <c r="AO4" s="18" t="s">
        <v>30</v>
      </c>
      <c r="AP4" s="18" t="s">
        <v>23</v>
      </c>
      <c r="AQ4" s="18" t="s">
        <v>24</v>
      </c>
      <c r="AR4" s="18" t="s">
        <v>28</v>
      </c>
      <c r="AS4" s="18" t="s">
        <v>27</v>
      </c>
      <c r="AT4" s="18" t="s">
        <v>23</v>
      </c>
      <c r="AU4" s="19" t="s">
        <v>24</v>
      </c>
      <c r="AV4" s="18" t="s">
        <v>28</v>
      </c>
      <c r="AW4" s="18" t="s">
        <v>27</v>
      </c>
      <c r="AX4" s="18" t="s">
        <v>23</v>
      </c>
      <c r="AY4" s="18" t="s">
        <v>31</v>
      </c>
      <c r="AZ4" s="18" t="s">
        <v>25</v>
      </c>
      <c r="BA4" s="18" t="s">
        <v>28</v>
      </c>
      <c r="BB4" s="18" t="s">
        <v>27</v>
      </c>
      <c r="BC4" s="18" t="s">
        <v>23</v>
      </c>
      <c r="BD4" s="18" t="s">
        <v>24</v>
      </c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 t="s">
        <v>32</v>
      </c>
      <c r="CI4" s="18" t="s">
        <v>33</v>
      </c>
      <c r="CJ4" s="18" t="s">
        <v>34</v>
      </c>
      <c r="CK4" s="18" t="s">
        <v>35</v>
      </c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 t="s">
        <v>36</v>
      </c>
      <c r="FV4" s="18"/>
      <c r="FW4" s="18"/>
      <c r="FX4" s="18" t="s">
        <v>37</v>
      </c>
      <c r="FY4" s="18"/>
      <c r="FZ4" s="18" t="s">
        <v>38</v>
      </c>
      <c r="GA4" s="18"/>
      <c r="GB4" s="18"/>
      <c r="GC4" s="18"/>
      <c r="GD4" s="18" t="s">
        <v>38</v>
      </c>
      <c r="GE4" s="18"/>
      <c r="GF4" s="18"/>
      <c r="GG4" s="18"/>
      <c r="GH4" s="18" t="s">
        <v>38</v>
      </c>
      <c r="GI4" s="18"/>
      <c r="GJ4" s="18"/>
      <c r="GK4" s="18"/>
      <c r="GL4" s="18" t="s">
        <v>32</v>
      </c>
      <c r="GM4" s="18" t="s">
        <v>39</v>
      </c>
      <c r="GN4" s="18" t="s">
        <v>3</v>
      </c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20"/>
      <c r="HB4" s="20" t="s">
        <v>38</v>
      </c>
      <c r="HC4" s="20"/>
      <c r="HD4" s="20"/>
      <c r="HE4" s="20" t="s">
        <v>38</v>
      </c>
      <c r="HF4" s="20"/>
      <c r="HG4" s="20"/>
      <c r="HH4" s="20"/>
      <c r="HI4" s="20"/>
      <c r="HJ4" s="20" t="s">
        <v>38</v>
      </c>
      <c r="HK4" s="20"/>
      <c r="HL4" s="20"/>
      <c r="HM4" s="20"/>
      <c r="HN4" s="20"/>
      <c r="HO4" s="20"/>
      <c r="HP4" s="20"/>
      <c r="HQ4" s="20"/>
      <c r="HR4" s="20"/>
      <c r="HS4" s="20"/>
      <c r="HT4" s="20"/>
    </row>
    <row r="5">
      <c r="A5" s="14"/>
      <c r="B5" s="21" t="s">
        <v>40</v>
      </c>
      <c r="C5" s="4" t="s">
        <v>41</v>
      </c>
      <c r="D5" s="4"/>
      <c r="E5" s="4">
        <v>9.495256481E9</v>
      </c>
      <c r="F5" s="15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7"/>
      <c r="S5" s="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3"/>
      <c r="AN5" s="4"/>
      <c r="AO5" s="3"/>
      <c r="AP5" s="3"/>
      <c r="AQ5" s="3"/>
      <c r="AR5" s="4"/>
      <c r="AS5" s="3"/>
      <c r="AT5" s="3"/>
      <c r="AU5" s="3"/>
      <c r="AV5" s="3"/>
      <c r="AW5" s="4"/>
      <c r="AX5" s="4"/>
      <c r="AY5" s="3"/>
      <c r="AZ5" s="4"/>
      <c r="BA5" s="4"/>
      <c r="BB5" s="3"/>
      <c r="BC5" s="4"/>
      <c r="BD5" s="3"/>
      <c r="BE5" s="3"/>
      <c r="BF5" s="4"/>
      <c r="BG5" s="3"/>
      <c r="BH5" s="3"/>
      <c r="BI5" s="3"/>
      <c r="BJ5" s="4"/>
      <c r="BK5" s="3"/>
      <c r="BL5" s="3"/>
      <c r="BM5" s="3"/>
      <c r="BN5" s="4"/>
      <c r="BO5" s="3"/>
      <c r="BP5" s="4"/>
      <c r="BQ5" s="3"/>
      <c r="BR5" s="3"/>
      <c r="BS5" s="3"/>
      <c r="BT5" s="3"/>
      <c r="BU5" s="4"/>
      <c r="BV5" s="3"/>
      <c r="BW5" s="3"/>
      <c r="BX5" s="3"/>
      <c r="BY5" s="3"/>
      <c r="BZ5" s="3"/>
      <c r="CA5" s="4"/>
      <c r="CB5" s="4"/>
      <c r="CC5" s="4"/>
      <c r="CD5" s="3"/>
      <c r="CE5" s="4"/>
      <c r="CF5" s="4"/>
      <c r="CG5" s="3"/>
      <c r="CH5" s="3"/>
      <c r="CI5" s="4"/>
      <c r="CJ5" s="4"/>
      <c r="CK5" s="4"/>
      <c r="CL5" s="4"/>
      <c r="CM5" s="4"/>
      <c r="CN5" s="4"/>
      <c r="CO5" s="4"/>
      <c r="CP5" s="3"/>
      <c r="CQ5" s="3"/>
      <c r="CR5" s="4"/>
      <c r="CS5" s="3"/>
      <c r="CT5" s="4"/>
      <c r="CU5" s="4"/>
      <c r="CV5" s="18"/>
      <c r="CW5" s="18"/>
      <c r="CX5" s="4"/>
      <c r="CY5" s="18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 t="s">
        <v>42</v>
      </c>
      <c r="HC5" s="21" t="s">
        <v>42</v>
      </c>
      <c r="HD5" s="21" t="s">
        <v>43</v>
      </c>
      <c r="HE5" s="21" t="s">
        <v>43</v>
      </c>
      <c r="HF5" s="21" t="s">
        <v>42</v>
      </c>
      <c r="HG5" s="4" t="s">
        <v>44</v>
      </c>
      <c r="HH5" s="4" t="s">
        <v>45</v>
      </c>
      <c r="HI5" s="4"/>
      <c r="HJ5" s="4"/>
      <c r="HK5" s="4" t="s">
        <v>44</v>
      </c>
      <c r="HL5" s="4"/>
      <c r="HM5" s="4"/>
      <c r="HN5" s="4"/>
      <c r="HO5" s="4"/>
      <c r="HP5" s="4"/>
      <c r="HQ5" s="4"/>
      <c r="HR5" s="4"/>
      <c r="HS5" s="4"/>
      <c r="HT5" s="4"/>
    </row>
    <row r="6">
      <c r="A6" s="22"/>
      <c r="B6" s="21" t="s">
        <v>45</v>
      </c>
      <c r="C6" s="21" t="s">
        <v>46</v>
      </c>
      <c r="D6" s="21"/>
      <c r="E6" s="21">
        <v>5.756356703E9</v>
      </c>
      <c r="F6" s="23" t="s">
        <v>45</v>
      </c>
      <c r="G6" s="24" t="s">
        <v>47</v>
      </c>
      <c r="H6" s="24" t="s">
        <v>47</v>
      </c>
      <c r="I6" s="24" t="s">
        <v>47</v>
      </c>
      <c r="J6" s="24" t="s">
        <v>45</v>
      </c>
      <c r="K6" s="24" t="s">
        <v>47</v>
      </c>
      <c r="L6" s="24" t="s">
        <v>47</v>
      </c>
      <c r="M6" s="24" t="s">
        <v>45</v>
      </c>
      <c r="N6" s="24" t="s">
        <v>47</v>
      </c>
      <c r="O6" s="24" t="s">
        <v>48</v>
      </c>
      <c r="P6" s="24" t="s">
        <v>47</v>
      </c>
      <c r="Q6" s="24" t="s">
        <v>45</v>
      </c>
      <c r="R6" s="25" t="s">
        <v>47</v>
      </c>
      <c r="S6" s="26"/>
      <c r="T6" s="21" t="s">
        <v>45</v>
      </c>
      <c r="U6" s="21" t="s">
        <v>45</v>
      </c>
      <c r="V6" s="21" t="s">
        <v>47</v>
      </c>
      <c r="W6" s="21" t="s">
        <v>45</v>
      </c>
      <c r="X6" s="21" t="s">
        <v>47</v>
      </c>
      <c r="Y6" s="21" t="s">
        <v>47</v>
      </c>
      <c r="Z6" s="21" t="s">
        <v>47</v>
      </c>
      <c r="AA6" s="21" t="s">
        <v>47</v>
      </c>
      <c r="AB6" s="21" t="s">
        <v>45</v>
      </c>
      <c r="AC6" s="21" t="s">
        <v>47</v>
      </c>
      <c r="AD6" s="21" t="s">
        <v>47</v>
      </c>
      <c r="AE6" s="21" t="s">
        <v>45</v>
      </c>
      <c r="AF6" s="21" t="s">
        <v>47</v>
      </c>
      <c r="AG6" s="21" t="s">
        <v>47</v>
      </c>
      <c r="AH6" s="21" t="s">
        <v>47</v>
      </c>
      <c r="AI6" s="21" t="s">
        <v>47</v>
      </c>
      <c r="AJ6" s="21" t="s">
        <v>45</v>
      </c>
      <c r="AK6" s="21" t="s">
        <v>47</v>
      </c>
      <c r="AL6" s="21" t="s">
        <v>47</v>
      </c>
      <c r="AM6" s="26"/>
      <c r="AN6" s="21" t="s">
        <v>45</v>
      </c>
      <c r="AO6" s="26"/>
      <c r="AP6" s="26"/>
      <c r="AQ6" s="26"/>
      <c r="AR6" s="21" t="s">
        <v>45</v>
      </c>
      <c r="AS6" s="26"/>
      <c r="AT6" s="26"/>
      <c r="AU6" s="26"/>
      <c r="AV6" s="26"/>
      <c r="AW6" s="21" t="s">
        <v>49</v>
      </c>
      <c r="AX6" s="21" t="s">
        <v>43</v>
      </c>
      <c r="AY6" s="26"/>
      <c r="AZ6" s="21" t="s">
        <v>43</v>
      </c>
      <c r="BA6" s="21" t="s">
        <v>50</v>
      </c>
      <c r="BB6" s="26"/>
      <c r="BC6" s="21" t="s">
        <v>45</v>
      </c>
      <c r="BD6" s="26"/>
      <c r="BE6" s="26"/>
      <c r="BF6" s="21" t="s">
        <v>45</v>
      </c>
      <c r="BG6" s="26"/>
      <c r="BH6" s="26"/>
      <c r="BI6" s="26"/>
      <c r="BJ6" s="21" t="s">
        <v>45</v>
      </c>
      <c r="BK6" s="26"/>
      <c r="BL6" s="26"/>
      <c r="BM6" s="26"/>
      <c r="BN6" s="21" t="s">
        <v>45</v>
      </c>
      <c r="BO6" s="26"/>
      <c r="BP6" s="21" t="s">
        <v>45</v>
      </c>
      <c r="BQ6" s="26"/>
      <c r="BR6" s="26"/>
      <c r="BS6" s="26"/>
      <c r="BT6" s="26"/>
      <c r="BU6" s="21" t="s">
        <v>51</v>
      </c>
      <c r="BV6" s="26"/>
      <c r="BW6" s="26"/>
      <c r="BX6" s="26"/>
      <c r="BY6" s="26"/>
      <c r="BZ6" s="26"/>
      <c r="CA6" s="21" t="s">
        <v>45</v>
      </c>
      <c r="CB6" s="21" t="s">
        <v>52</v>
      </c>
      <c r="CC6" s="21" t="s">
        <v>43</v>
      </c>
      <c r="CD6" s="26"/>
      <c r="CE6" s="21" t="s">
        <v>52</v>
      </c>
      <c r="CF6" s="21" t="s">
        <v>45</v>
      </c>
      <c r="CG6" s="26"/>
      <c r="CH6" s="26"/>
      <c r="CI6" s="21" t="s">
        <v>45</v>
      </c>
      <c r="CJ6" s="21" t="s">
        <v>45</v>
      </c>
      <c r="CK6" s="21"/>
      <c r="CL6" s="21"/>
      <c r="CM6" s="21"/>
      <c r="CN6" s="21"/>
      <c r="CO6" s="21" t="s">
        <v>45</v>
      </c>
      <c r="CP6" s="26"/>
      <c r="CQ6" s="26"/>
      <c r="CR6" s="21" t="s">
        <v>45</v>
      </c>
      <c r="CS6" s="26"/>
      <c r="CT6" s="21"/>
      <c r="CU6" s="21"/>
      <c r="CV6" s="27" t="s">
        <v>43</v>
      </c>
      <c r="CW6" s="27" t="s">
        <v>43</v>
      </c>
      <c r="CX6" s="21" t="s">
        <v>45</v>
      </c>
      <c r="CY6" s="27" t="s">
        <v>43</v>
      </c>
      <c r="CZ6" s="21" t="s">
        <v>45</v>
      </c>
      <c r="DA6" s="21"/>
      <c r="DB6" s="21" t="s">
        <v>45</v>
      </c>
      <c r="DC6" s="21"/>
      <c r="DD6" s="21"/>
      <c r="DE6" s="21"/>
      <c r="DF6" s="21" t="s">
        <v>45</v>
      </c>
      <c r="DG6" s="21"/>
      <c r="DH6" s="21"/>
      <c r="DI6" s="21"/>
      <c r="DJ6" s="21"/>
      <c r="DK6" s="21" t="s">
        <v>43</v>
      </c>
      <c r="DL6" s="21" t="s">
        <v>45</v>
      </c>
      <c r="DM6" s="21"/>
      <c r="DN6" s="21" t="s">
        <v>45</v>
      </c>
      <c r="DO6" s="21"/>
      <c r="DP6" s="21"/>
      <c r="DQ6" s="21"/>
      <c r="DR6" s="21"/>
      <c r="DS6" s="21"/>
      <c r="DT6" s="21"/>
      <c r="DU6" s="21" t="s">
        <v>45</v>
      </c>
      <c r="DV6" s="21" t="s">
        <v>45</v>
      </c>
      <c r="DW6" s="21" t="s">
        <v>45</v>
      </c>
      <c r="DX6" s="21"/>
      <c r="DY6" s="21"/>
      <c r="DZ6" s="21"/>
      <c r="EA6" s="21" t="s">
        <v>45</v>
      </c>
      <c r="EB6" s="21"/>
      <c r="EC6" s="21" t="s">
        <v>45</v>
      </c>
      <c r="ED6" s="21"/>
      <c r="EE6" s="21"/>
      <c r="EF6" s="21" t="s">
        <v>45</v>
      </c>
      <c r="EG6" s="21" t="s">
        <v>45</v>
      </c>
      <c r="EH6" s="21"/>
      <c r="EI6" s="21" t="s">
        <v>45</v>
      </c>
      <c r="EJ6" s="21"/>
      <c r="EK6" s="21"/>
      <c r="EL6" s="21"/>
      <c r="EM6" s="21" t="s">
        <v>45</v>
      </c>
      <c r="EN6" s="21" t="s">
        <v>45</v>
      </c>
      <c r="EO6" s="21" t="s">
        <v>43</v>
      </c>
      <c r="EP6" s="21" t="s">
        <v>43</v>
      </c>
      <c r="EQ6" s="21" t="s">
        <v>45</v>
      </c>
      <c r="ER6" s="21"/>
      <c r="ES6" s="21"/>
      <c r="ET6" s="21"/>
      <c r="EU6" s="21" t="s">
        <v>45</v>
      </c>
      <c r="EV6" s="21"/>
      <c r="EW6" s="21" t="s">
        <v>45</v>
      </c>
      <c r="EX6" s="21" t="s">
        <v>43</v>
      </c>
      <c r="EY6" s="21" t="s">
        <v>43</v>
      </c>
      <c r="EZ6" s="21" t="s">
        <v>43</v>
      </c>
      <c r="FA6" s="21" t="s">
        <v>45</v>
      </c>
      <c r="FB6" s="21"/>
      <c r="FC6" s="21"/>
      <c r="FD6" s="21" t="s">
        <v>45</v>
      </c>
      <c r="FE6" s="21"/>
      <c r="FF6" s="21"/>
      <c r="FG6" s="21" t="s">
        <v>45</v>
      </c>
      <c r="FH6" s="21"/>
      <c r="FI6" s="21"/>
      <c r="FJ6" s="21" t="s">
        <v>45</v>
      </c>
      <c r="FK6" s="21"/>
      <c r="FL6" s="21"/>
      <c r="FM6" s="21" t="s">
        <v>45</v>
      </c>
      <c r="FN6" s="21"/>
      <c r="FO6" s="21"/>
      <c r="FP6" s="21" t="s">
        <v>45</v>
      </c>
      <c r="FQ6" s="21"/>
      <c r="FR6" s="21"/>
      <c r="FS6" s="21"/>
      <c r="FT6" s="21"/>
      <c r="FU6" s="21"/>
      <c r="FV6" s="21" t="s">
        <v>45</v>
      </c>
      <c r="FW6" s="21"/>
      <c r="FX6" s="21" t="s">
        <v>43</v>
      </c>
      <c r="FY6" s="21" t="s">
        <v>43</v>
      </c>
      <c r="FZ6" s="21" t="s">
        <v>45</v>
      </c>
      <c r="GA6" s="21"/>
      <c r="GB6" s="21"/>
      <c r="GC6" s="21"/>
      <c r="GD6" s="21" t="s">
        <v>45</v>
      </c>
      <c r="GE6" s="21"/>
      <c r="GF6" s="21"/>
      <c r="GG6" s="21" t="s">
        <v>45</v>
      </c>
      <c r="GH6" s="21"/>
      <c r="GI6" s="21"/>
      <c r="GJ6" s="21" t="s">
        <v>45</v>
      </c>
      <c r="GK6" s="21"/>
      <c r="GL6" s="21"/>
      <c r="GM6" s="21"/>
      <c r="GN6" s="21" t="s">
        <v>45</v>
      </c>
      <c r="GO6" s="21"/>
      <c r="GP6" s="21"/>
      <c r="GQ6" s="21"/>
      <c r="GR6" s="21" t="s">
        <v>45</v>
      </c>
      <c r="GS6" s="21"/>
      <c r="GT6" s="21" t="s">
        <v>45</v>
      </c>
      <c r="GU6" s="21"/>
      <c r="GV6" s="28" t="s">
        <v>43</v>
      </c>
      <c r="GW6" s="28" t="s">
        <v>43</v>
      </c>
      <c r="GX6" s="28" t="s">
        <v>43</v>
      </c>
      <c r="GY6" s="28" t="s">
        <v>43</v>
      </c>
      <c r="GZ6" s="28" t="s">
        <v>43</v>
      </c>
      <c r="HA6" s="28" t="s">
        <v>43</v>
      </c>
      <c r="HB6" s="21" t="s">
        <v>45</v>
      </c>
      <c r="HC6" s="21"/>
      <c r="HD6" s="21"/>
      <c r="HE6" s="21"/>
      <c r="HF6" s="21" t="s">
        <v>45</v>
      </c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8"/>
    </row>
    <row r="7">
      <c r="A7" s="22"/>
      <c r="B7" s="21" t="s">
        <v>53</v>
      </c>
      <c r="C7" s="21" t="s">
        <v>54</v>
      </c>
      <c r="D7" s="21"/>
      <c r="E7" s="21">
        <v>4.235035635E9</v>
      </c>
      <c r="F7" s="23" t="s">
        <v>55</v>
      </c>
      <c r="G7" s="24" t="s">
        <v>55</v>
      </c>
      <c r="H7" s="24" t="s">
        <v>55</v>
      </c>
      <c r="I7" s="24" t="s">
        <v>55</v>
      </c>
      <c r="J7" s="24" t="s">
        <v>43</v>
      </c>
      <c r="K7" s="24" t="s">
        <v>55</v>
      </c>
      <c r="L7" s="24" t="s">
        <v>55</v>
      </c>
      <c r="M7" s="24" t="s">
        <v>55</v>
      </c>
      <c r="N7" s="24" t="s">
        <v>55</v>
      </c>
      <c r="O7" s="29"/>
      <c r="P7" s="24" t="s">
        <v>55</v>
      </c>
      <c r="Q7" s="24" t="s">
        <v>55</v>
      </c>
      <c r="R7" s="25" t="s">
        <v>55</v>
      </c>
      <c r="S7" s="21" t="s">
        <v>55</v>
      </c>
      <c r="T7" s="21" t="s">
        <v>55</v>
      </c>
      <c r="U7" s="21" t="s">
        <v>56</v>
      </c>
      <c r="V7" s="21" t="s">
        <v>55</v>
      </c>
      <c r="W7" s="21" t="s">
        <v>55</v>
      </c>
      <c r="X7" s="21" t="s">
        <v>55</v>
      </c>
      <c r="Y7" s="21" t="s">
        <v>55</v>
      </c>
      <c r="Z7" s="21" t="s">
        <v>55</v>
      </c>
      <c r="AA7" s="21" t="s">
        <v>55</v>
      </c>
      <c r="AB7" s="21" t="s">
        <v>55</v>
      </c>
      <c r="AC7" s="21" t="s">
        <v>55</v>
      </c>
      <c r="AD7" s="21" t="s">
        <v>55</v>
      </c>
      <c r="AE7" s="21" t="s">
        <v>55</v>
      </c>
      <c r="AF7" s="21" t="s">
        <v>55</v>
      </c>
      <c r="AG7" s="21" t="s">
        <v>55</v>
      </c>
      <c r="AH7" s="21" t="s">
        <v>55</v>
      </c>
      <c r="AI7" s="21" t="s">
        <v>55</v>
      </c>
      <c r="AJ7" s="21" t="s">
        <v>55</v>
      </c>
      <c r="AK7" s="21" t="s">
        <v>55</v>
      </c>
      <c r="AL7" s="21" t="s">
        <v>55</v>
      </c>
      <c r="AM7" s="26"/>
      <c r="AN7" s="21" t="s">
        <v>55</v>
      </c>
      <c r="AO7" s="21" t="s">
        <v>55</v>
      </c>
      <c r="AP7" s="21" t="s">
        <v>55</v>
      </c>
      <c r="AQ7" s="21" t="s">
        <v>55</v>
      </c>
      <c r="AR7" s="21" t="s">
        <v>55</v>
      </c>
      <c r="AS7" s="21" t="s">
        <v>55</v>
      </c>
      <c r="AT7" s="21" t="s">
        <v>55</v>
      </c>
      <c r="AU7" s="21" t="s">
        <v>55</v>
      </c>
      <c r="AV7" s="21" t="s">
        <v>55</v>
      </c>
      <c r="AW7" s="21" t="s">
        <v>55</v>
      </c>
      <c r="AX7" s="21" t="s">
        <v>55</v>
      </c>
      <c r="AY7" s="21" t="s">
        <v>55</v>
      </c>
      <c r="AZ7" s="21" t="s">
        <v>55</v>
      </c>
      <c r="BA7" s="21" t="s">
        <v>55</v>
      </c>
      <c r="BB7" s="21" t="s">
        <v>55</v>
      </c>
      <c r="BC7" s="21" t="s">
        <v>55</v>
      </c>
      <c r="BD7" s="21" t="s">
        <v>55</v>
      </c>
      <c r="BE7" s="21"/>
      <c r="BF7" s="21"/>
      <c r="BG7" s="21"/>
      <c r="BH7" s="21"/>
      <c r="BI7" s="21"/>
      <c r="BJ7" s="21"/>
      <c r="BK7" s="21"/>
      <c r="BL7" s="21"/>
      <c r="BM7" s="30" t="s">
        <v>56</v>
      </c>
      <c r="BN7" s="21" t="s">
        <v>56</v>
      </c>
      <c r="BO7" s="21"/>
      <c r="BP7" s="21" t="s">
        <v>57</v>
      </c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 t="s">
        <v>55</v>
      </c>
      <c r="CH7" s="21" t="s">
        <v>55</v>
      </c>
      <c r="CI7" s="21" t="s">
        <v>55</v>
      </c>
      <c r="CJ7" s="21" t="s">
        <v>55</v>
      </c>
      <c r="CK7" s="21" t="s">
        <v>55</v>
      </c>
      <c r="CL7" s="21" t="s">
        <v>55</v>
      </c>
      <c r="CM7" s="21" t="s">
        <v>55</v>
      </c>
      <c r="CN7" s="21" t="s">
        <v>55</v>
      </c>
      <c r="CO7" s="21" t="s">
        <v>43</v>
      </c>
      <c r="CP7" s="21" t="s">
        <v>55</v>
      </c>
      <c r="CQ7" s="21" t="s">
        <v>55</v>
      </c>
      <c r="CR7" s="21" t="s">
        <v>55</v>
      </c>
      <c r="CS7" s="21" t="s">
        <v>55</v>
      </c>
      <c r="CT7" s="21" t="s">
        <v>55</v>
      </c>
      <c r="CU7" s="21" t="s">
        <v>55</v>
      </c>
      <c r="CV7" s="21"/>
      <c r="CW7" s="21"/>
      <c r="CX7" s="21"/>
      <c r="CY7" s="21"/>
      <c r="CZ7" s="21"/>
      <c r="DA7" s="21" t="s">
        <v>57</v>
      </c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 t="s">
        <v>57</v>
      </c>
      <c r="DM7" s="21" t="s">
        <v>57</v>
      </c>
      <c r="DN7" s="21" t="s">
        <v>57</v>
      </c>
      <c r="DO7" s="21" t="s">
        <v>57</v>
      </c>
      <c r="DP7" s="21" t="s">
        <v>57</v>
      </c>
      <c r="DQ7" s="21" t="s">
        <v>57</v>
      </c>
      <c r="DR7" s="21" t="s">
        <v>57</v>
      </c>
      <c r="DS7" s="21" t="s">
        <v>57</v>
      </c>
      <c r="DT7" s="21" t="s">
        <v>57</v>
      </c>
      <c r="DU7" s="21" t="s">
        <v>57</v>
      </c>
      <c r="DV7" s="21" t="s">
        <v>57</v>
      </c>
      <c r="DW7" s="21" t="s">
        <v>57</v>
      </c>
      <c r="DX7" s="21" t="s">
        <v>57</v>
      </c>
      <c r="DY7" s="21" t="s">
        <v>57</v>
      </c>
      <c r="DZ7" s="21" t="s">
        <v>57</v>
      </c>
      <c r="EA7" s="21" t="s">
        <v>57</v>
      </c>
      <c r="EB7" s="21" t="s">
        <v>57</v>
      </c>
      <c r="EC7" s="21" t="s">
        <v>57</v>
      </c>
      <c r="ED7" s="21" t="s">
        <v>57</v>
      </c>
      <c r="EE7" s="21" t="s">
        <v>57</v>
      </c>
      <c r="EF7" s="21" t="s">
        <v>57</v>
      </c>
      <c r="EG7" s="21" t="s">
        <v>57</v>
      </c>
      <c r="EH7" s="21" t="s">
        <v>57</v>
      </c>
      <c r="EI7" s="21" t="s">
        <v>57</v>
      </c>
      <c r="EJ7" s="21" t="s">
        <v>57</v>
      </c>
      <c r="EK7" s="21" t="s">
        <v>57</v>
      </c>
      <c r="EL7" s="21" t="s">
        <v>57</v>
      </c>
      <c r="EM7" s="21" t="s">
        <v>57</v>
      </c>
      <c r="EN7" s="21" t="s">
        <v>57</v>
      </c>
      <c r="EO7" s="21" t="s">
        <v>57</v>
      </c>
      <c r="EP7" s="21" t="s">
        <v>57</v>
      </c>
      <c r="EQ7" s="21" t="s">
        <v>57</v>
      </c>
      <c r="ER7" s="21" t="s">
        <v>57</v>
      </c>
      <c r="ES7" s="21" t="s">
        <v>43</v>
      </c>
      <c r="ET7" s="21" t="s">
        <v>43</v>
      </c>
      <c r="EU7" s="21" t="s">
        <v>57</v>
      </c>
      <c r="EV7" s="21" t="s">
        <v>57</v>
      </c>
      <c r="EW7" s="21" t="s">
        <v>57</v>
      </c>
      <c r="EX7" s="21" t="s">
        <v>57</v>
      </c>
      <c r="EY7" s="21" t="s">
        <v>57</v>
      </c>
      <c r="EZ7" s="21" t="s">
        <v>57</v>
      </c>
      <c r="FA7" s="21" t="s">
        <v>58</v>
      </c>
      <c r="FB7" s="21" t="s">
        <v>57</v>
      </c>
      <c r="FC7" s="21" t="s">
        <v>57</v>
      </c>
      <c r="FD7" s="21" t="s">
        <v>57</v>
      </c>
      <c r="FE7" s="21" t="s">
        <v>57</v>
      </c>
      <c r="FF7" s="21" t="s">
        <v>57</v>
      </c>
      <c r="FG7" s="21" t="s">
        <v>57</v>
      </c>
      <c r="FH7" s="21" t="s">
        <v>57</v>
      </c>
      <c r="FI7" s="31" t="s">
        <v>57</v>
      </c>
      <c r="FJ7" s="21" t="s">
        <v>57</v>
      </c>
      <c r="FK7" s="21" t="s">
        <v>57</v>
      </c>
      <c r="FL7" s="21" t="s">
        <v>57</v>
      </c>
      <c r="FM7" s="21" t="s">
        <v>57</v>
      </c>
      <c r="FN7" s="21" t="s">
        <v>57</v>
      </c>
      <c r="FO7" s="21" t="s">
        <v>57</v>
      </c>
      <c r="FP7" s="21" t="s">
        <v>57</v>
      </c>
      <c r="FQ7" s="21" t="s">
        <v>57</v>
      </c>
      <c r="FR7" s="21" t="s">
        <v>57</v>
      </c>
      <c r="FS7" s="21" t="s">
        <v>57</v>
      </c>
      <c r="FT7" s="21" t="s">
        <v>57</v>
      </c>
      <c r="FU7" s="21"/>
      <c r="FV7" s="21" t="s">
        <v>57</v>
      </c>
      <c r="FW7" s="21" t="s">
        <v>57</v>
      </c>
      <c r="FX7" s="21"/>
      <c r="FY7" s="21" t="s">
        <v>57</v>
      </c>
      <c r="FZ7" s="21" t="s">
        <v>57</v>
      </c>
      <c r="GA7" s="21" t="s">
        <v>57</v>
      </c>
      <c r="GB7" s="21" t="s">
        <v>57</v>
      </c>
      <c r="GC7" s="21" t="s">
        <v>57</v>
      </c>
      <c r="GD7" s="21" t="s">
        <v>57</v>
      </c>
      <c r="GE7" s="21" t="s">
        <v>57</v>
      </c>
      <c r="GF7" s="21" t="s">
        <v>57</v>
      </c>
      <c r="GG7" s="21" t="s">
        <v>57</v>
      </c>
      <c r="GH7" s="21" t="s">
        <v>57</v>
      </c>
      <c r="GI7" s="21" t="s">
        <v>57</v>
      </c>
      <c r="GJ7" s="21" t="s">
        <v>57</v>
      </c>
      <c r="GK7" s="21" t="s">
        <v>57</v>
      </c>
      <c r="GL7" s="21" t="s">
        <v>57</v>
      </c>
      <c r="GM7" s="21" t="s">
        <v>57</v>
      </c>
      <c r="GN7" s="21" t="s">
        <v>57</v>
      </c>
      <c r="GO7" s="21" t="s">
        <v>57</v>
      </c>
      <c r="GP7" s="21" t="s">
        <v>57</v>
      </c>
      <c r="GQ7" s="21" t="s">
        <v>57</v>
      </c>
      <c r="GR7" s="21" t="s">
        <v>57</v>
      </c>
      <c r="GS7" s="21" t="s">
        <v>57</v>
      </c>
      <c r="GT7" s="21" t="s">
        <v>57</v>
      </c>
      <c r="GU7" s="21" t="s">
        <v>57</v>
      </c>
      <c r="GV7" s="21" t="s">
        <v>43</v>
      </c>
      <c r="GW7" s="21" t="s">
        <v>57</v>
      </c>
      <c r="GX7" s="21" t="s">
        <v>57</v>
      </c>
      <c r="GY7" s="21" t="s">
        <v>57</v>
      </c>
      <c r="GZ7" s="21" t="s">
        <v>57</v>
      </c>
      <c r="HA7" s="21" t="s">
        <v>57</v>
      </c>
      <c r="HB7" s="21" t="s">
        <v>57</v>
      </c>
      <c r="HC7" s="21" t="s">
        <v>57</v>
      </c>
      <c r="HD7" s="21" t="s">
        <v>57</v>
      </c>
      <c r="HE7" s="21" t="s">
        <v>57</v>
      </c>
      <c r="HF7" s="21" t="s">
        <v>57</v>
      </c>
      <c r="HG7" s="21" t="s">
        <v>57</v>
      </c>
      <c r="HH7" s="21" t="s">
        <v>57</v>
      </c>
      <c r="HI7" s="21" t="s">
        <v>57</v>
      </c>
      <c r="HJ7" s="21" t="s">
        <v>57</v>
      </c>
      <c r="HK7" s="21" t="s">
        <v>57</v>
      </c>
      <c r="HL7" s="21" t="s">
        <v>57</v>
      </c>
      <c r="HM7" s="21" t="s">
        <v>57</v>
      </c>
      <c r="HN7" s="21"/>
      <c r="HO7" s="21"/>
      <c r="HP7" s="21"/>
      <c r="HQ7" s="21"/>
      <c r="HR7" s="21"/>
      <c r="HS7" s="21"/>
      <c r="HT7" s="21"/>
    </row>
    <row r="8">
      <c r="A8" s="22"/>
      <c r="B8" s="21" t="s">
        <v>59</v>
      </c>
      <c r="C8" s="21" t="s">
        <v>60</v>
      </c>
      <c r="D8" s="21"/>
      <c r="E8" s="21">
        <v>4.235035202E9</v>
      </c>
      <c r="F8" s="23" t="s">
        <v>61</v>
      </c>
      <c r="G8" s="24" t="s">
        <v>61</v>
      </c>
      <c r="H8" s="24" t="s">
        <v>61</v>
      </c>
      <c r="I8" s="24" t="s">
        <v>61</v>
      </c>
      <c r="J8" s="24" t="s">
        <v>61</v>
      </c>
      <c r="K8" s="24" t="s">
        <v>61</v>
      </c>
      <c r="L8" s="24" t="s">
        <v>61</v>
      </c>
      <c r="M8" s="24" t="s">
        <v>61</v>
      </c>
      <c r="N8" s="24" t="s">
        <v>61</v>
      </c>
      <c r="O8" s="24" t="s">
        <v>61</v>
      </c>
      <c r="P8" s="24" t="s">
        <v>61</v>
      </c>
      <c r="Q8" s="24" t="s">
        <v>61</v>
      </c>
      <c r="R8" s="25" t="s">
        <v>61</v>
      </c>
      <c r="S8" s="25" t="s">
        <v>61</v>
      </c>
      <c r="T8" s="25" t="s">
        <v>61</v>
      </c>
      <c r="U8" s="25" t="s">
        <v>61</v>
      </c>
      <c r="V8" s="25" t="s">
        <v>61</v>
      </c>
      <c r="W8" s="25" t="s">
        <v>61</v>
      </c>
      <c r="X8" s="25" t="s">
        <v>61</v>
      </c>
      <c r="Y8" s="25" t="s">
        <v>61</v>
      </c>
      <c r="Z8" s="25" t="s">
        <v>61</v>
      </c>
      <c r="AA8" s="25" t="s">
        <v>61</v>
      </c>
      <c r="AB8" s="25" t="s">
        <v>61</v>
      </c>
      <c r="AC8" s="25" t="s">
        <v>61</v>
      </c>
      <c r="AD8" s="25" t="s">
        <v>61</v>
      </c>
      <c r="AE8" s="27" t="s">
        <v>61</v>
      </c>
      <c r="AF8" s="27" t="s">
        <v>61</v>
      </c>
      <c r="AG8" s="27" t="s">
        <v>61</v>
      </c>
      <c r="AH8" s="27" t="s">
        <v>61</v>
      </c>
      <c r="AI8" s="27" t="s">
        <v>61</v>
      </c>
      <c r="AJ8" s="27" t="s">
        <v>61</v>
      </c>
      <c r="AK8" s="27" t="s">
        <v>61</v>
      </c>
      <c r="AL8" s="27" t="s">
        <v>61</v>
      </c>
      <c r="AM8" s="27"/>
      <c r="AN8" s="27" t="s">
        <v>61</v>
      </c>
      <c r="AO8" s="27" t="s">
        <v>61</v>
      </c>
      <c r="AP8" s="27" t="s">
        <v>61</v>
      </c>
      <c r="AQ8" s="27" t="s">
        <v>61</v>
      </c>
      <c r="AR8" s="27" t="s">
        <v>61</v>
      </c>
      <c r="AS8" s="27" t="s">
        <v>43</v>
      </c>
      <c r="AT8" s="27" t="s">
        <v>61</v>
      </c>
      <c r="AU8" s="27" t="s">
        <v>61</v>
      </c>
      <c r="AV8" s="27" t="s">
        <v>61</v>
      </c>
      <c r="AW8" s="27" t="s">
        <v>61</v>
      </c>
      <c r="AX8" s="27" t="s">
        <v>61</v>
      </c>
      <c r="AY8" s="27" t="s">
        <v>43</v>
      </c>
      <c r="AZ8" s="27" t="s">
        <v>61</v>
      </c>
      <c r="BA8" s="27" t="s">
        <v>61</v>
      </c>
      <c r="BB8" s="27" t="s">
        <v>61</v>
      </c>
      <c r="BC8" s="27" t="s">
        <v>61</v>
      </c>
      <c r="BD8" s="27" t="s">
        <v>61</v>
      </c>
      <c r="BE8" s="27" t="s">
        <v>61</v>
      </c>
      <c r="BF8" s="27" t="s">
        <v>61</v>
      </c>
      <c r="BG8" s="27" t="s">
        <v>61</v>
      </c>
      <c r="BH8" s="27" t="s">
        <v>61</v>
      </c>
      <c r="BI8" s="27" t="s">
        <v>61</v>
      </c>
      <c r="BJ8" s="27" t="s">
        <v>61</v>
      </c>
      <c r="BK8" s="27" t="s">
        <v>61</v>
      </c>
      <c r="BL8" s="27" t="s">
        <v>61</v>
      </c>
      <c r="BM8" s="27" t="s">
        <v>61</v>
      </c>
      <c r="BN8" s="27" t="s">
        <v>61</v>
      </c>
      <c r="BO8" s="27" t="s">
        <v>61</v>
      </c>
      <c r="BP8" s="27" t="s">
        <v>43</v>
      </c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 t="s">
        <v>58</v>
      </c>
      <c r="CH8" s="27" t="s">
        <v>58</v>
      </c>
      <c r="CI8" s="27" t="s">
        <v>58</v>
      </c>
      <c r="CJ8" s="27" t="s">
        <v>43</v>
      </c>
      <c r="CK8" s="27" t="s">
        <v>58</v>
      </c>
      <c r="CL8" s="27" t="s">
        <v>58</v>
      </c>
      <c r="CM8" s="27" t="s">
        <v>58</v>
      </c>
      <c r="CN8" s="27" t="s">
        <v>58</v>
      </c>
      <c r="CO8" s="27" t="s">
        <v>58</v>
      </c>
      <c r="CP8" s="27" t="s">
        <v>58</v>
      </c>
      <c r="CQ8" s="27" t="s">
        <v>58</v>
      </c>
      <c r="CR8" s="27" t="s">
        <v>58</v>
      </c>
      <c r="CS8" s="27" t="s">
        <v>58</v>
      </c>
      <c r="CT8" s="27" t="s">
        <v>58</v>
      </c>
      <c r="CU8" s="27" t="s">
        <v>58</v>
      </c>
      <c r="CV8" s="27" t="s">
        <v>43</v>
      </c>
      <c r="CW8" s="27" t="s">
        <v>43</v>
      </c>
      <c r="CX8" s="27" t="s">
        <v>58</v>
      </c>
      <c r="CY8" s="27" t="s">
        <v>58</v>
      </c>
      <c r="CZ8" s="27" t="s">
        <v>58</v>
      </c>
      <c r="DA8" s="27" t="s">
        <v>58</v>
      </c>
      <c r="DB8" s="27" t="s">
        <v>58</v>
      </c>
      <c r="DC8" s="27" t="s">
        <v>58</v>
      </c>
      <c r="DD8" s="27" t="s">
        <v>58</v>
      </c>
      <c r="DE8" s="27" t="s">
        <v>58</v>
      </c>
      <c r="DF8" s="27" t="s">
        <v>58</v>
      </c>
      <c r="DG8" s="27" t="s">
        <v>58</v>
      </c>
      <c r="DH8" s="27" t="s">
        <v>58</v>
      </c>
      <c r="DI8" s="27" t="s">
        <v>58</v>
      </c>
      <c r="DJ8" s="27" t="s">
        <v>58</v>
      </c>
      <c r="DK8" s="27" t="s">
        <v>58</v>
      </c>
      <c r="DL8" s="27" t="s">
        <v>58</v>
      </c>
      <c r="DM8" s="27" t="s">
        <v>58</v>
      </c>
      <c r="DN8" s="27" t="s">
        <v>58</v>
      </c>
      <c r="DO8" s="27" t="s">
        <v>58</v>
      </c>
      <c r="DP8" s="27" t="s">
        <v>58</v>
      </c>
      <c r="DQ8" s="27" t="s">
        <v>58</v>
      </c>
      <c r="DR8" s="27" t="s">
        <v>58</v>
      </c>
      <c r="DS8" s="27" t="s">
        <v>58</v>
      </c>
      <c r="DT8" s="27" t="s">
        <v>58</v>
      </c>
      <c r="DU8" s="27" t="s">
        <v>58</v>
      </c>
      <c r="DV8" s="27" t="s">
        <v>58</v>
      </c>
      <c r="DW8" s="27" t="s">
        <v>58</v>
      </c>
      <c r="DX8" s="27" t="s">
        <v>58</v>
      </c>
      <c r="DY8" s="27" t="s">
        <v>58</v>
      </c>
      <c r="DZ8" s="27" t="s">
        <v>58</v>
      </c>
      <c r="EA8" s="27" t="s">
        <v>43</v>
      </c>
      <c r="EB8" s="27" t="s">
        <v>58</v>
      </c>
      <c r="EC8" s="27" t="s">
        <v>58</v>
      </c>
      <c r="ED8" s="27" t="s">
        <v>58</v>
      </c>
      <c r="EE8" s="27" t="s">
        <v>58</v>
      </c>
      <c r="EF8" s="27" t="s">
        <v>58</v>
      </c>
      <c r="EG8" s="27" t="s">
        <v>58</v>
      </c>
      <c r="EH8" s="27" t="s">
        <v>58</v>
      </c>
      <c r="EI8" s="27" t="s">
        <v>58</v>
      </c>
      <c r="EJ8" s="27" t="s">
        <v>58</v>
      </c>
      <c r="EK8" s="27" t="s">
        <v>58</v>
      </c>
      <c r="EL8" s="27" t="s">
        <v>58</v>
      </c>
      <c r="EM8" s="27" t="s">
        <v>58</v>
      </c>
      <c r="EN8" s="27" t="s">
        <v>58</v>
      </c>
      <c r="EO8" s="27" t="s">
        <v>58</v>
      </c>
      <c r="EP8" s="27" t="s">
        <v>58</v>
      </c>
      <c r="EQ8" s="27" t="s">
        <v>58</v>
      </c>
      <c r="ER8" s="27" t="s">
        <v>58</v>
      </c>
      <c r="ES8" s="27" t="s">
        <v>58</v>
      </c>
      <c r="ET8" s="27" t="s">
        <v>58</v>
      </c>
      <c r="EU8" s="27" t="s">
        <v>58</v>
      </c>
      <c r="EV8" s="27" t="s">
        <v>58</v>
      </c>
      <c r="EW8" s="27" t="s">
        <v>43</v>
      </c>
      <c r="EX8" s="27" t="s">
        <v>43</v>
      </c>
      <c r="EY8" s="27" t="s">
        <v>58</v>
      </c>
      <c r="EZ8" s="27" t="s">
        <v>58</v>
      </c>
      <c r="FA8" s="27" t="s">
        <v>43</v>
      </c>
      <c r="FB8" s="27" t="s">
        <v>58</v>
      </c>
      <c r="FC8" s="27" t="s">
        <v>58</v>
      </c>
      <c r="FD8" s="27" t="s">
        <v>58</v>
      </c>
      <c r="FE8" s="27" t="s">
        <v>58</v>
      </c>
      <c r="FF8" s="27" t="s">
        <v>58</v>
      </c>
      <c r="FG8" s="27" t="s">
        <v>58</v>
      </c>
      <c r="FH8" s="27" t="s">
        <v>58</v>
      </c>
      <c r="FI8" s="25" t="s">
        <v>58</v>
      </c>
      <c r="FJ8" s="27" t="s">
        <v>58</v>
      </c>
      <c r="FK8" s="27" t="s">
        <v>58</v>
      </c>
      <c r="FL8" s="27" t="s">
        <v>43</v>
      </c>
      <c r="FM8" s="27" t="s">
        <v>58</v>
      </c>
      <c r="FN8" s="27" t="s">
        <v>58</v>
      </c>
      <c r="FO8" s="27" t="s">
        <v>58</v>
      </c>
      <c r="FP8" s="27" t="s">
        <v>58</v>
      </c>
      <c r="FQ8" s="27" t="s">
        <v>58</v>
      </c>
      <c r="FR8" s="27" t="s">
        <v>58</v>
      </c>
      <c r="FS8" s="27" t="s">
        <v>58</v>
      </c>
      <c r="FT8" s="27" t="s">
        <v>58</v>
      </c>
      <c r="FU8" s="27" t="s">
        <v>58</v>
      </c>
      <c r="FV8" s="27" t="s">
        <v>58</v>
      </c>
      <c r="FW8" s="27" t="s">
        <v>58</v>
      </c>
      <c r="FX8" s="27" t="s">
        <v>58</v>
      </c>
      <c r="FY8" s="27" t="s">
        <v>43</v>
      </c>
      <c r="FZ8" s="32" t="s">
        <v>58</v>
      </c>
      <c r="GA8" s="27" t="s">
        <v>58</v>
      </c>
      <c r="GB8" s="27" t="s">
        <v>58</v>
      </c>
      <c r="GC8" s="27" t="s">
        <v>58</v>
      </c>
      <c r="GD8" s="27" t="s">
        <v>58</v>
      </c>
      <c r="GE8" s="27" t="s">
        <v>58</v>
      </c>
      <c r="GF8" s="27" t="s">
        <v>58</v>
      </c>
      <c r="GG8" s="27" t="s">
        <v>43</v>
      </c>
      <c r="GH8" s="27" t="s">
        <v>58</v>
      </c>
      <c r="GI8" s="27" t="s">
        <v>58</v>
      </c>
      <c r="GJ8" s="27" t="s">
        <v>43</v>
      </c>
      <c r="GK8" s="27" t="s">
        <v>58</v>
      </c>
      <c r="GL8" s="27" t="s">
        <v>58</v>
      </c>
      <c r="GM8" s="27" t="s">
        <v>58</v>
      </c>
      <c r="GN8" s="27" t="s">
        <v>58</v>
      </c>
      <c r="GO8" s="27" t="s">
        <v>58</v>
      </c>
      <c r="GP8" s="27" t="s">
        <v>58</v>
      </c>
      <c r="GQ8" s="27" t="s">
        <v>58</v>
      </c>
      <c r="GR8" s="27" t="s">
        <v>58</v>
      </c>
      <c r="GS8" s="27" t="s">
        <v>58</v>
      </c>
      <c r="GT8" s="27" t="s">
        <v>58</v>
      </c>
      <c r="GU8" s="27" t="s">
        <v>58</v>
      </c>
      <c r="GV8" s="27" t="s">
        <v>58</v>
      </c>
      <c r="GW8" s="27" t="s">
        <v>58</v>
      </c>
      <c r="GX8" s="27" t="s">
        <v>58</v>
      </c>
      <c r="GY8" s="27" t="s">
        <v>58</v>
      </c>
      <c r="GZ8" s="27" t="s">
        <v>58</v>
      </c>
      <c r="HA8" s="27" t="s">
        <v>58</v>
      </c>
      <c r="HB8" s="27" t="s">
        <v>58</v>
      </c>
      <c r="HC8" s="27" t="s">
        <v>58</v>
      </c>
      <c r="HD8" s="27" t="s">
        <v>58</v>
      </c>
      <c r="HE8" s="27" t="s">
        <v>58</v>
      </c>
      <c r="HF8" s="27" t="s">
        <v>43</v>
      </c>
      <c r="HG8" s="27" t="s">
        <v>58</v>
      </c>
      <c r="HH8" s="27" t="s">
        <v>58</v>
      </c>
      <c r="HI8" s="27" t="s">
        <v>58</v>
      </c>
      <c r="HJ8" s="27" t="s">
        <v>58</v>
      </c>
      <c r="HK8" s="27" t="s">
        <v>58</v>
      </c>
      <c r="HL8" s="27" t="s">
        <v>58</v>
      </c>
      <c r="HM8" s="27" t="s">
        <v>58</v>
      </c>
      <c r="HN8" s="27" t="s">
        <v>58</v>
      </c>
      <c r="HO8" s="27" t="s">
        <v>58</v>
      </c>
      <c r="HP8" s="27" t="s">
        <v>58</v>
      </c>
      <c r="HQ8" s="27" t="s">
        <v>58</v>
      </c>
      <c r="HR8" s="27" t="s">
        <v>58</v>
      </c>
      <c r="HS8" s="27" t="s">
        <v>58</v>
      </c>
      <c r="HT8" s="27" t="s">
        <v>58</v>
      </c>
    </row>
    <row r="9">
      <c r="A9" s="22"/>
      <c r="B9" s="21" t="s">
        <v>62</v>
      </c>
      <c r="C9" s="21" t="s">
        <v>63</v>
      </c>
      <c r="D9" s="21"/>
      <c r="E9" s="21">
        <v>2.294132656E9</v>
      </c>
      <c r="F9" s="23" t="s">
        <v>62</v>
      </c>
      <c r="G9" s="29"/>
      <c r="H9" s="24" t="s">
        <v>62</v>
      </c>
      <c r="I9" s="24" t="s">
        <v>62</v>
      </c>
      <c r="J9" s="24" t="s">
        <v>62</v>
      </c>
      <c r="K9" s="29"/>
      <c r="L9" s="29"/>
      <c r="M9" s="24" t="s">
        <v>62</v>
      </c>
      <c r="N9" s="24" t="s">
        <v>62</v>
      </c>
      <c r="O9" s="29"/>
      <c r="P9" s="24" t="s">
        <v>62</v>
      </c>
      <c r="Q9" s="24"/>
      <c r="R9" s="25" t="s">
        <v>62</v>
      </c>
      <c r="S9" s="26"/>
      <c r="T9" s="26"/>
      <c r="U9" s="26"/>
      <c r="V9" s="26"/>
      <c r="W9" s="21" t="s">
        <v>62</v>
      </c>
      <c r="X9" s="26"/>
      <c r="Y9" s="21" t="s">
        <v>62</v>
      </c>
      <c r="Z9" s="26"/>
      <c r="AA9" s="21" t="s">
        <v>62</v>
      </c>
      <c r="AB9" s="26"/>
      <c r="AC9" s="21" t="s">
        <v>62</v>
      </c>
      <c r="AD9" s="26"/>
      <c r="AE9" s="21" t="s">
        <v>62</v>
      </c>
      <c r="AF9" s="26"/>
      <c r="AG9" s="21" t="s">
        <v>62</v>
      </c>
      <c r="AH9" s="26"/>
      <c r="AI9" s="21" t="s">
        <v>62</v>
      </c>
      <c r="AJ9" s="21" t="s">
        <v>62</v>
      </c>
      <c r="AK9" s="21" t="s">
        <v>62</v>
      </c>
      <c r="AL9" s="26"/>
      <c r="AM9" s="26"/>
      <c r="AN9" s="21" t="s">
        <v>62</v>
      </c>
      <c r="AO9" s="26"/>
      <c r="AP9" s="21" t="s">
        <v>62</v>
      </c>
      <c r="AQ9" s="26"/>
      <c r="AR9" s="21" t="s">
        <v>62</v>
      </c>
      <c r="AS9" s="26"/>
      <c r="AT9" s="21" t="s">
        <v>62</v>
      </c>
      <c r="AU9" s="26"/>
      <c r="AV9" s="21" t="s">
        <v>62</v>
      </c>
      <c r="AW9" s="26"/>
      <c r="AX9" s="21" t="s">
        <v>62</v>
      </c>
      <c r="AY9" s="26"/>
      <c r="AZ9" s="21" t="s">
        <v>62</v>
      </c>
      <c r="BA9" s="21" t="s">
        <v>62</v>
      </c>
      <c r="BB9" s="26"/>
      <c r="BC9" s="21" t="s">
        <v>62</v>
      </c>
      <c r="BD9" s="26"/>
      <c r="BE9" s="21" t="s">
        <v>62</v>
      </c>
      <c r="BF9" s="21" t="s">
        <v>62</v>
      </c>
      <c r="BG9" s="21" t="s">
        <v>62</v>
      </c>
      <c r="BH9" s="21" t="s">
        <v>62</v>
      </c>
      <c r="BI9" s="21" t="s">
        <v>62</v>
      </c>
      <c r="BJ9" s="26"/>
      <c r="BK9" s="26"/>
      <c r="BL9" s="26"/>
      <c r="BM9" s="26"/>
      <c r="BN9" s="26"/>
      <c r="BO9" s="26"/>
      <c r="BP9" s="21" t="s">
        <v>43</v>
      </c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1" t="s">
        <v>43</v>
      </c>
      <c r="CI9" s="21" t="s">
        <v>62</v>
      </c>
      <c r="CJ9" s="21" t="s">
        <v>43</v>
      </c>
      <c r="CK9" s="21" t="s">
        <v>62</v>
      </c>
      <c r="CL9" s="21" t="s">
        <v>62</v>
      </c>
      <c r="CM9" s="26"/>
      <c r="CN9" s="21" t="s">
        <v>62</v>
      </c>
      <c r="CO9" s="26"/>
      <c r="CP9" s="21" t="s">
        <v>62</v>
      </c>
      <c r="CQ9" s="26"/>
      <c r="CR9" s="21" t="s">
        <v>62</v>
      </c>
      <c r="CS9" s="26"/>
      <c r="CT9" s="21" t="s">
        <v>62</v>
      </c>
      <c r="CU9" s="26"/>
      <c r="CV9" s="26"/>
      <c r="CW9" s="26"/>
      <c r="CX9" s="21" t="s">
        <v>62</v>
      </c>
      <c r="CY9" s="26"/>
      <c r="CZ9" s="21" t="s">
        <v>62</v>
      </c>
      <c r="DA9" s="21"/>
      <c r="DB9" s="21"/>
      <c r="DC9" s="21"/>
      <c r="DD9" s="21" t="s">
        <v>62</v>
      </c>
      <c r="DE9" s="21" t="s">
        <v>62</v>
      </c>
      <c r="DF9" s="21"/>
      <c r="DG9" s="21" t="s">
        <v>62</v>
      </c>
      <c r="DH9" s="21"/>
      <c r="DI9" s="21" t="s">
        <v>62</v>
      </c>
      <c r="DJ9" s="21" t="s">
        <v>62</v>
      </c>
      <c r="DK9" s="21"/>
      <c r="DL9" s="21"/>
      <c r="DM9" s="21" t="s">
        <v>62</v>
      </c>
      <c r="DN9" s="21" t="s">
        <v>62</v>
      </c>
      <c r="DO9" s="21"/>
      <c r="DP9" s="21"/>
      <c r="DQ9" s="21" t="s">
        <v>62</v>
      </c>
      <c r="DR9" s="21" t="s">
        <v>62</v>
      </c>
      <c r="DS9" s="21"/>
      <c r="DT9" s="21"/>
      <c r="DU9" s="21"/>
      <c r="DV9" s="21"/>
      <c r="DW9" s="21" t="s">
        <v>62</v>
      </c>
      <c r="DX9" s="21" t="s">
        <v>62</v>
      </c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 t="s">
        <v>62</v>
      </c>
      <c r="ES9" s="21" t="s">
        <v>62</v>
      </c>
      <c r="ET9" s="21" t="s">
        <v>62</v>
      </c>
      <c r="EU9" s="21" t="s">
        <v>62</v>
      </c>
      <c r="EV9" s="21"/>
      <c r="EW9" s="21" t="s">
        <v>43</v>
      </c>
      <c r="EX9" s="21" t="s">
        <v>43</v>
      </c>
      <c r="EY9" s="21" t="s">
        <v>62</v>
      </c>
      <c r="EZ9" s="21" t="s">
        <v>62</v>
      </c>
      <c r="FA9" s="21" t="s">
        <v>58</v>
      </c>
      <c r="FB9" s="21"/>
      <c r="FC9" s="21"/>
      <c r="FD9" s="21"/>
      <c r="FE9" s="21"/>
      <c r="FF9" s="21"/>
      <c r="FG9" s="21" t="s">
        <v>62</v>
      </c>
      <c r="FH9" s="21"/>
      <c r="FI9" s="31"/>
      <c r="FJ9" s="21" t="s">
        <v>62</v>
      </c>
      <c r="FK9" s="21" t="s">
        <v>62</v>
      </c>
      <c r="FL9" s="21"/>
      <c r="FM9" s="21" t="s">
        <v>62</v>
      </c>
      <c r="FN9" s="21"/>
      <c r="FO9" s="21" t="s">
        <v>62</v>
      </c>
      <c r="FP9" s="21"/>
      <c r="FQ9" s="21" t="s">
        <v>62</v>
      </c>
      <c r="FR9" s="21"/>
      <c r="FS9" s="21"/>
      <c r="FT9" s="21" t="s">
        <v>62</v>
      </c>
      <c r="FU9" s="21"/>
      <c r="FV9" s="21"/>
      <c r="FW9" s="21" t="s">
        <v>62</v>
      </c>
      <c r="FX9" s="21"/>
      <c r="FY9" s="21"/>
      <c r="FZ9" s="21" t="s">
        <v>62</v>
      </c>
      <c r="GA9" s="21"/>
      <c r="GB9" s="21" t="s">
        <v>62</v>
      </c>
      <c r="GC9" s="21"/>
      <c r="GD9" s="21" t="s">
        <v>62</v>
      </c>
      <c r="GE9" s="21" t="s">
        <v>62</v>
      </c>
      <c r="GF9" s="21" t="s">
        <v>62</v>
      </c>
      <c r="GG9" s="21"/>
      <c r="GH9" s="21" t="s">
        <v>62</v>
      </c>
      <c r="GI9" s="21" t="s">
        <v>62</v>
      </c>
      <c r="GJ9" s="21"/>
      <c r="GK9" s="21"/>
      <c r="GL9" s="21"/>
      <c r="GM9" s="21"/>
      <c r="GN9" s="21" t="s">
        <v>62</v>
      </c>
      <c r="GO9" s="21"/>
      <c r="GP9" s="21" t="s">
        <v>62</v>
      </c>
      <c r="GQ9" s="21" t="s">
        <v>64</v>
      </c>
      <c r="GR9" s="21" t="s">
        <v>62</v>
      </c>
      <c r="GS9" s="21"/>
      <c r="GT9" s="21"/>
      <c r="GU9" s="21" t="s">
        <v>62</v>
      </c>
      <c r="GV9" s="28"/>
      <c r="GW9" s="21" t="s">
        <v>62</v>
      </c>
      <c r="GX9" s="21"/>
      <c r="GY9" s="21"/>
      <c r="GZ9" s="21" t="s">
        <v>62</v>
      </c>
      <c r="HA9" s="21" t="s">
        <v>62</v>
      </c>
      <c r="HB9" s="21" t="s">
        <v>62</v>
      </c>
      <c r="HC9" s="21"/>
      <c r="HD9" s="21"/>
      <c r="HE9" s="21" t="s">
        <v>62</v>
      </c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8"/>
    </row>
    <row r="10">
      <c r="A10" s="22"/>
      <c r="B10" s="21" t="s">
        <v>65</v>
      </c>
      <c r="C10" s="21" t="s">
        <v>66</v>
      </c>
      <c r="D10" s="21"/>
      <c r="E10" s="21">
        <v>4.234325911E9</v>
      </c>
      <c r="F10" s="28" t="s">
        <v>67</v>
      </c>
      <c r="G10" s="33" t="s">
        <v>67</v>
      </c>
      <c r="H10" s="33" t="s">
        <v>67</v>
      </c>
      <c r="I10" s="33" t="s">
        <v>43</v>
      </c>
      <c r="J10" s="33" t="s">
        <v>67</v>
      </c>
      <c r="K10" s="33" t="s">
        <v>67</v>
      </c>
      <c r="L10" s="33" t="s">
        <v>43</v>
      </c>
      <c r="M10" s="33" t="s">
        <v>67</v>
      </c>
      <c r="N10" s="33" t="s">
        <v>67</v>
      </c>
      <c r="O10" s="34"/>
      <c r="P10" s="34"/>
      <c r="Q10" s="33" t="s">
        <v>67</v>
      </c>
      <c r="R10" s="31" t="s">
        <v>67</v>
      </c>
      <c r="S10" s="31" t="s">
        <v>67</v>
      </c>
      <c r="T10" s="31" t="s">
        <v>67</v>
      </c>
      <c r="U10" s="31" t="s">
        <v>67</v>
      </c>
      <c r="V10" s="31" t="s">
        <v>67</v>
      </c>
      <c r="W10" s="31" t="s">
        <v>67</v>
      </c>
      <c r="X10" s="21" t="s">
        <v>67</v>
      </c>
      <c r="Y10" s="21" t="s">
        <v>67</v>
      </c>
      <c r="Z10" s="21" t="s">
        <v>67</v>
      </c>
      <c r="AA10" s="26"/>
      <c r="AB10" s="21" t="s">
        <v>67</v>
      </c>
      <c r="AC10" s="21" t="s">
        <v>67</v>
      </c>
      <c r="AD10" s="21" t="s">
        <v>67</v>
      </c>
      <c r="AE10" s="26"/>
      <c r="AF10" s="21" t="s">
        <v>67</v>
      </c>
      <c r="AG10" s="21" t="s">
        <v>67</v>
      </c>
      <c r="AH10" s="21" t="s">
        <v>67</v>
      </c>
      <c r="AI10" s="26"/>
      <c r="AJ10" s="21" t="s">
        <v>67</v>
      </c>
      <c r="AK10" s="21" t="s">
        <v>67</v>
      </c>
      <c r="AL10" s="21" t="s">
        <v>67</v>
      </c>
      <c r="AM10" s="26"/>
      <c r="AN10" s="26"/>
      <c r="AO10" s="26"/>
      <c r="AP10" s="26"/>
      <c r="AQ10" s="26"/>
      <c r="AR10" s="26"/>
      <c r="AS10" s="26"/>
      <c r="AT10" s="26"/>
      <c r="AU10" s="27" t="s">
        <v>68</v>
      </c>
      <c r="AV10" s="27" t="s">
        <v>43</v>
      </c>
      <c r="AW10" s="27" t="s">
        <v>68</v>
      </c>
      <c r="AX10" s="27" t="s">
        <v>68</v>
      </c>
      <c r="AY10" s="27" t="s">
        <v>68</v>
      </c>
      <c r="AZ10" s="27" t="s">
        <v>43</v>
      </c>
      <c r="BA10" s="27" t="s">
        <v>43</v>
      </c>
      <c r="BB10" s="27" t="s">
        <v>68</v>
      </c>
      <c r="BC10" s="27" t="s">
        <v>68</v>
      </c>
      <c r="BD10" s="27" t="s">
        <v>68</v>
      </c>
      <c r="BE10" s="26"/>
      <c r="BF10" s="27" t="s">
        <v>68</v>
      </c>
      <c r="BG10" s="27" t="s">
        <v>68</v>
      </c>
      <c r="BH10" s="27" t="s">
        <v>68</v>
      </c>
      <c r="BI10" s="27" t="s">
        <v>68</v>
      </c>
      <c r="BJ10" s="27" t="s">
        <v>68</v>
      </c>
      <c r="BK10" s="21" t="s">
        <v>43</v>
      </c>
      <c r="BL10" s="27" t="s">
        <v>68</v>
      </c>
      <c r="BM10" s="27" t="s">
        <v>68</v>
      </c>
      <c r="BN10" s="26"/>
      <c r="BO10" s="27" t="s">
        <v>68</v>
      </c>
      <c r="BP10" s="21" t="s">
        <v>67</v>
      </c>
      <c r="BQ10" s="27" t="s">
        <v>43</v>
      </c>
      <c r="BR10" s="21" t="s">
        <v>67</v>
      </c>
      <c r="BS10" s="21" t="s">
        <v>67</v>
      </c>
      <c r="BT10" s="21" t="s">
        <v>67</v>
      </c>
      <c r="BU10" s="21" t="s">
        <v>67</v>
      </c>
      <c r="BV10" s="21" t="s">
        <v>67</v>
      </c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1" t="s">
        <v>67</v>
      </c>
      <c r="CH10" s="21" t="s">
        <v>43</v>
      </c>
      <c r="CI10" s="21" t="s">
        <v>67</v>
      </c>
      <c r="CJ10" s="21" t="s">
        <v>67</v>
      </c>
      <c r="CK10" s="21" t="s">
        <v>67</v>
      </c>
      <c r="CL10" s="21" t="s">
        <v>67</v>
      </c>
      <c r="CM10" s="21" t="s">
        <v>67</v>
      </c>
      <c r="CN10" s="21" t="s">
        <v>43</v>
      </c>
      <c r="CO10" s="21" t="s">
        <v>67</v>
      </c>
      <c r="CP10" s="21" t="s">
        <v>67</v>
      </c>
      <c r="CQ10" s="21" t="s">
        <v>67</v>
      </c>
      <c r="CR10" s="21" t="s">
        <v>67</v>
      </c>
      <c r="CS10" s="21" t="s">
        <v>67</v>
      </c>
      <c r="CT10" s="21" t="s">
        <v>67</v>
      </c>
      <c r="CU10" s="21" t="s">
        <v>67</v>
      </c>
      <c r="CV10" s="21" t="s">
        <v>56</v>
      </c>
      <c r="CW10" s="21" t="s">
        <v>56</v>
      </c>
      <c r="CX10" s="26"/>
      <c r="CY10" s="26"/>
      <c r="CZ10" s="21" t="s">
        <v>67</v>
      </c>
      <c r="DA10" s="21" t="s">
        <v>67</v>
      </c>
      <c r="DB10" s="21"/>
      <c r="DC10" s="21"/>
      <c r="DD10" s="21"/>
      <c r="DE10" s="21"/>
      <c r="DF10" s="21"/>
      <c r="DG10" s="21"/>
      <c r="DH10" s="21"/>
      <c r="DI10" s="21" t="s">
        <v>43</v>
      </c>
      <c r="DJ10" s="21" t="s">
        <v>43</v>
      </c>
      <c r="DK10" s="21" t="s">
        <v>43</v>
      </c>
      <c r="DL10" s="21" t="s">
        <v>67</v>
      </c>
      <c r="DM10" s="21" t="s">
        <v>67</v>
      </c>
      <c r="DN10" s="21" t="s">
        <v>67</v>
      </c>
      <c r="DO10" s="21" t="s">
        <v>67</v>
      </c>
      <c r="DP10" s="21" t="s">
        <v>67</v>
      </c>
      <c r="DQ10" s="21" t="s">
        <v>67</v>
      </c>
      <c r="DR10" s="21" t="s">
        <v>67</v>
      </c>
      <c r="DS10" s="21" t="s">
        <v>67</v>
      </c>
      <c r="DT10" s="21" t="s">
        <v>67</v>
      </c>
      <c r="DU10" s="21" t="s">
        <v>67</v>
      </c>
      <c r="DV10" s="21" t="s">
        <v>67</v>
      </c>
      <c r="DW10" s="21" t="s">
        <v>67</v>
      </c>
      <c r="DX10" s="21" t="s">
        <v>67</v>
      </c>
      <c r="DY10" s="21" t="s">
        <v>67</v>
      </c>
      <c r="DZ10" s="21" t="s">
        <v>67</v>
      </c>
      <c r="EA10" s="21" t="s">
        <v>67</v>
      </c>
      <c r="EB10" s="21" t="s">
        <v>67</v>
      </c>
      <c r="EC10" s="21" t="s">
        <v>43</v>
      </c>
      <c r="ED10" s="21" t="s">
        <v>43</v>
      </c>
      <c r="EE10" s="21" t="s">
        <v>67</v>
      </c>
      <c r="EF10" s="21" t="s">
        <v>67</v>
      </c>
      <c r="EG10" s="21" t="s">
        <v>67</v>
      </c>
      <c r="EH10" s="21" t="s">
        <v>67</v>
      </c>
      <c r="EI10" s="21" t="s">
        <v>67</v>
      </c>
      <c r="EJ10" s="21" t="s">
        <v>67</v>
      </c>
      <c r="EK10" s="21" t="s">
        <v>67</v>
      </c>
      <c r="EL10" s="21" t="s">
        <v>67</v>
      </c>
      <c r="EM10" s="21" t="s">
        <v>67</v>
      </c>
      <c r="EN10" s="21" t="s">
        <v>56</v>
      </c>
      <c r="EO10" s="21" t="s">
        <v>67</v>
      </c>
      <c r="EP10" s="21" t="s">
        <v>67</v>
      </c>
      <c r="EQ10" s="21" t="s">
        <v>67</v>
      </c>
      <c r="ER10" s="21" t="s">
        <v>43</v>
      </c>
      <c r="ES10" s="21" t="s">
        <v>67</v>
      </c>
      <c r="ET10" s="21" t="s">
        <v>67</v>
      </c>
      <c r="EU10" s="21" t="s">
        <v>67</v>
      </c>
      <c r="EV10" s="21" t="s">
        <v>67</v>
      </c>
      <c r="EW10" s="21" t="s">
        <v>43</v>
      </c>
      <c r="EX10" s="21" t="s">
        <v>67</v>
      </c>
      <c r="EY10" s="21" t="s">
        <v>67</v>
      </c>
      <c r="EZ10" s="21" t="s">
        <v>67</v>
      </c>
      <c r="FA10" s="21" t="s">
        <v>67</v>
      </c>
      <c r="FB10" s="21" t="s">
        <v>67</v>
      </c>
      <c r="FC10" s="21" t="s">
        <v>67</v>
      </c>
      <c r="FD10" s="21" t="s">
        <v>67</v>
      </c>
      <c r="FE10" s="21" t="s">
        <v>67</v>
      </c>
      <c r="FF10" s="21" t="s">
        <v>43</v>
      </c>
      <c r="FG10" s="21" t="s">
        <v>67</v>
      </c>
      <c r="FH10" s="21" t="s">
        <v>67</v>
      </c>
      <c r="FI10" s="31" t="s">
        <v>67</v>
      </c>
      <c r="FJ10" s="21" t="s">
        <v>67</v>
      </c>
      <c r="FK10" s="21" t="s">
        <v>67</v>
      </c>
      <c r="FL10" s="21" t="s">
        <v>67</v>
      </c>
      <c r="FM10" s="21" t="s">
        <v>67</v>
      </c>
      <c r="FN10" s="21" t="s">
        <v>67</v>
      </c>
      <c r="FO10" s="21" t="s">
        <v>67</v>
      </c>
      <c r="FP10" s="21" t="s">
        <v>67</v>
      </c>
      <c r="FQ10" s="21" t="s">
        <v>67</v>
      </c>
      <c r="FR10" s="21" t="s">
        <v>67</v>
      </c>
      <c r="FS10" s="21" t="s">
        <v>67</v>
      </c>
      <c r="FT10" s="21" t="s">
        <v>67</v>
      </c>
      <c r="FU10" s="21"/>
      <c r="FV10" s="21" t="s">
        <v>67</v>
      </c>
      <c r="FW10" s="21" t="s">
        <v>67</v>
      </c>
      <c r="FX10" s="21"/>
      <c r="FY10" s="21" t="s">
        <v>67</v>
      </c>
      <c r="FZ10" s="21" t="s">
        <v>67</v>
      </c>
      <c r="GA10" s="21" t="s">
        <v>67</v>
      </c>
      <c r="GB10" s="21" t="s">
        <v>67</v>
      </c>
      <c r="GC10" s="27" t="s">
        <v>43</v>
      </c>
      <c r="GD10" s="21" t="s">
        <v>67</v>
      </c>
      <c r="GE10" s="21" t="s">
        <v>67</v>
      </c>
      <c r="GF10" s="21" t="s">
        <v>67</v>
      </c>
      <c r="GG10" s="21" t="s">
        <v>67</v>
      </c>
      <c r="GH10" s="21" t="s">
        <v>67</v>
      </c>
      <c r="GI10" s="21" t="s">
        <v>67</v>
      </c>
      <c r="GJ10" s="21" t="s">
        <v>67</v>
      </c>
      <c r="GK10" s="21" t="s">
        <v>43</v>
      </c>
      <c r="GL10" s="21" t="s">
        <v>67</v>
      </c>
      <c r="GM10" s="21" t="s">
        <v>67</v>
      </c>
      <c r="GN10" s="21" t="s">
        <v>67</v>
      </c>
      <c r="GO10" s="21" t="s">
        <v>43</v>
      </c>
      <c r="GP10" s="21" t="s">
        <v>67</v>
      </c>
      <c r="GQ10" s="21" t="s">
        <v>67</v>
      </c>
      <c r="GR10" s="21" t="s">
        <v>67</v>
      </c>
      <c r="GS10" s="21" t="s">
        <v>67</v>
      </c>
      <c r="GT10" s="21" t="s">
        <v>67</v>
      </c>
      <c r="GU10" s="21" t="s">
        <v>43</v>
      </c>
      <c r="GV10" s="21" t="s">
        <v>67</v>
      </c>
      <c r="GW10" s="21" t="s">
        <v>67</v>
      </c>
      <c r="GX10" s="21" t="s">
        <v>67</v>
      </c>
      <c r="GY10" s="21" t="s">
        <v>43</v>
      </c>
      <c r="GZ10" s="21" t="s">
        <v>43</v>
      </c>
      <c r="HA10" s="21" t="s">
        <v>43</v>
      </c>
      <c r="HB10" s="21" t="s">
        <v>67</v>
      </c>
      <c r="HC10" s="21" t="s">
        <v>67</v>
      </c>
      <c r="HD10" s="21" t="s">
        <v>67</v>
      </c>
      <c r="HE10" s="21" t="s">
        <v>67</v>
      </c>
      <c r="HF10" s="21" t="s">
        <v>67</v>
      </c>
      <c r="HG10" s="21" t="s">
        <v>67</v>
      </c>
      <c r="HH10" s="21" t="s">
        <v>43</v>
      </c>
      <c r="HI10" s="21" t="s">
        <v>67</v>
      </c>
      <c r="HJ10" s="21" t="s">
        <v>67</v>
      </c>
      <c r="HK10" s="21" t="s">
        <v>67</v>
      </c>
      <c r="HL10" s="21" t="s">
        <v>67</v>
      </c>
      <c r="HM10" s="21" t="s">
        <v>67</v>
      </c>
      <c r="HN10" s="21" t="s">
        <v>43</v>
      </c>
      <c r="HO10" s="21"/>
      <c r="HP10" s="21"/>
      <c r="HQ10" s="21"/>
      <c r="HR10" s="21"/>
      <c r="HS10" s="21"/>
      <c r="HT10" s="28"/>
    </row>
    <row r="11" ht="16.5" customHeight="1">
      <c r="A11" s="22"/>
      <c r="B11" s="21" t="s">
        <v>45</v>
      </c>
      <c r="C11" s="21" t="s">
        <v>69</v>
      </c>
      <c r="D11" s="21"/>
      <c r="E11" s="21">
        <v>4.233151647E9</v>
      </c>
      <c r="F11" s="28"/>
      <c r="G11" s="33"/>
      <c r="H11" s="33"/>
      <c r="I11" s="33"/>
      <c r="J11" s="33"/>
      <c r="K11" s="33"/>
      <c r="L11" s="33"/>
      <c r="M11" s="33"/>
      <c r="N11" s="33"/>
      <c r="O11" s="34"/>
      <c r="P11" s="34"/>
      <c r="Q11" s="33"/>
      <c r="R11" s="31"/>
      <c r="S11" s="21"/>
      <c r="T11" s="21"/>
      <c r="U11" s="21"/>
      <c r="V11" s="21"/>
      <c r="W11" s="21"/>
      <c r="X11" s="21"/>
      <c r="Y11" s="21" t="s">
        <v>45</v>
      </c>
      <c r="Z11" s="21"/>
      <c r="AA11" s="26"/>
      <c r="AB11" s="21"/>
      <c r="AC11" s="21"/>
      <c r="AD11" s="21" t="s">
        <v>45</v>
      </c>
      <c r="AE11" s="26"/>
      <c r="AF11" s="21"/>
      <c r="AG11" s="21"/>
      <c r="AH11" s="21" t="s">
        <v>45</v>
      </c>
      <c r="AI11" s="26"/>
      <c r="AJ11" s="26"/>
      <c r="AK11" s="21"/>
      <c r="AL11" s="21" t="s">
        <v>45</v>
      </c>
      <c r="AM11" s="21" t="s">
        <v>45</v>
      </c>
      <c r="AN11" s="26"/>
      <c r="AO11" s="26"/>
      <c r="AP11" s="26"/>
      <c r="AQ11" s="21" t="s">
        <v>45</v>
      </c>
      <c r="AR11" s="26"/>
      <c r="AS11" s="26"/>
      <c r="AT11" s="26"/>
      <c r="AU11" s="27" t="s">
        <v>70</v>
      </c>
      <c r="AV11" s="27" t="s">
        <v>43</v>
      </c>
      <c r="AW11" s="26"/>
      <c r="AX11" s="26"/>
      <c r="AY11" s="21" t="s">
        <v>45</v>
      </c>
      <c r="AZ11" s="27" t="s">
        <v>43</v>
      </c>
      <c r="BA11" s="27" t="s">
        <v>43</v>
      </c>
      <c r="BB11" s="26"/>
      <c r="BC11" s="26"/>
      <c r="BD11" s="21" t="s">
        <v>45</v>
      </c>
      <c r="BE11" s="26"/>
      <c r="BF11" s="26"/>
      <c r="BG11" s="26"/>
      <c r="BH11" s="26"/>
      <c r="BI11" s="21" t="s">
        <v>45</v>
      </c>
      <c r="BJ11" s="26"/>
      <c r="BK11" s="26"/>
      <c r="BL11" s="26"/>
      <c r="BM11" s="26"/>
      <c r="BN11" s="26"/>
      <c r="BO11" s="26"/>
      <c r="BP11" s="26"/>
      <c r="BQ11" s="21" t="s">
        <v>43</v>
      </c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1" t="s">
        <v>45</v>
      </c>
      <c r="CH11" s="26"/>
      <c r="CI11" s="26"/>
      <c r="CJ11" s="26"/>
      <c r="CK11" s="26"/>
      <c r="CL11" s="26"/>
      <c r="CM11" s="21" t="s">
        <v>45</v>
      </c>
      <c r="CN11" s="26"/>
      <c r="CO11" s="26"/>
      <c r="CP11" s="26"/>
      <c r="CQ11" s="21" t="s">
        <v>45</v>
      </c>
      <c r="CR11" s="26"/>
      <c r="CS11" s="26"/>
      <c r="CT11" s="26"/>
      <c r="CU11" s="21" t="s">
        <v>45</v>
      </c>
      <c r="CV11" s="21" t="s">
        <v>56</v>
      </c>
      <c r="CW11" s="21" t="s">
        <v>56</v>
      </c>
      <c r="CX11" s="26"/>
      <c r="CY11" s="26"/>
      <c r="CZ11" s="26"/>
      <c r="DA11" s="21" t="s">
        <v>45</v>
      </c>
      <c r="DB11" s="26"/>
      <c r="DC11" s="26"/>
      <c r="DD11" s="21" t="s">
        <v>45</v>
      </c>
      <c r="DE11" s="26"/>
      <c r="DF11" s="26"/>
      <c r="DG11" s="26"/>
      <c r="DH11" s="21"/>
      <c r="DI11" s="21" t="s">
        <v>45</v>
      </c>
      <c r="DJ11" s="26"/>
      <c r="DK11" s="21" t="s">
        <v>43</v>
      </c>
      <c r="DL11" s="26"/>
      <c r="DM11" s="21" t="s">
        <v>45</v>
      </c>
      <c r="DN11" s="26"/>
      <c r="DO11" s="26"/>
      <c r="DP11" s="26"/>
      <c r="DQ11" s="21" t="s">
        <v>45</v>
      </c>
      <c r="DR11" s="26"/>
      <c r="DS11" s="26"/>
      <c r="DT11" s="26"/>
      <c r="DU11" s="26"/>
      <c r="DV11" s="26"/>
      <c r="DW11" s="21"/>
      <c r="DX11" s="26"/>
      <c r="DY11" s="21"/>
      <c r="DZ11" s="21" t="s">
        <v>45</v>
      </c>
      <c r="EA11" s="26"/>
      <c r="EB11" s="26"/>
      <c r="EC11" s="21" t="s">
        <v>43</v>
      </c>
      <c r="ED11" s="21" t="s">
        <v>43</v>
      </c>
      <c r="EE11" s="21" t="s">
        <v>45</v>
      </c>
      <c r="EF11" s="26"/>
      <c r="EG11" s="21"/>
      <c r="EH11" s="21" t="s">
        <v>45</v>
      </c>
      <c r="EI11" s="26"/>
      <c r="EJ11" s="21" t="s">
        <v>45</v>
      </c>
      <c r="EK11" s="21"/>
      <c r="EL11" s="26"/>
      <c r="EM11" s="26"/>
      <c r="EN11" s="21" t="s">
        <v>56</v>
      </c>
      <c r="EO11" s="21" t="s">
        <v>45</v>
      </c>
      <c r="EP11" s="21" t="s">
        <v>45</v>
      </c>
      <c r="EQ11" s="26"/>
      <c r="ER11" s="21" t="s">
        <v>43</v>
      </c>
      <c r="ES11" s="21" t="s">
        <v>45</v>
      </c>
      <c r="ET11" s="21" t="s">
        <v>45</v>
      </c>
      <c r="EU11" s="26"/>
      <c r="EV11" s="26"/>
      <c r="EW11" s="21" t="s">
        <v>43</v>
      </c>
      <c r="EX11" s="26"/>
      <c r="EY11" s="21" t="s">
        <v>45</v>
      </c>
      <c r="EZ11" s="21" t="s">
        <v>45</v>
      </c>
      <c r="FA11" s="26"/>
      <c r="FB11" s="26"/>
      <c r="FC11" s="26"/>
      <c r="FD11" s="26"/>
      <c r="FE11" s="26"/>
      <c r="FF11" s="21" t="s">
        <v>43</v>
      </c>
      <c r="FG11" s="26"/>
      <c r="FH11" s="21" t="s">
        <v>45</v>
      </c>
      <c r="FI11" s="31" t="s">
        <v>45</v>
      </c>
      <c r="FJ11" s="26"/>
      <c r="FK11" s="21"/>
      <c r="FL11" s="26"/>
      <c r="FM11" s="26"/>
      <c r="FN11" s="21" t="s">
        <v>45</v>
      </c>
      <c r="FO11" s="26"/>
      <c r="FP11" s="26"/>
      <c r="FQ11" s="26"/>
      <c r="FR11" s="21"/>
      <c r="FS11" s="21" t="s">
        <v>45</v>
      </c>
      <c r="FT11" s="21"/>
      <c r="FU11" s="21"/>
      <c r="FV11" s="26"/>
      <c r="FW11" s="21" t="s">
        <v>45</v>
      </c>
      <c r="FX11" s="21"/>
      <c r="FY11" s="21" t="s">
        <v>45</v>
      </c>
      <c r="FZ11" s="21"/>
      <c r="GA11" s="26"/>
      <c r="GB11" s="21" t="s">
        <v>45</v>
      </c>
      <c r="GC11" s="27" t="s">
        <v>43</v>
      </c>
      <c r="GD11" s="26"/>
      <c r="GE11" s="26"/>
      <c r="GF11" s="21" t="s">
        <v>45</v>
      </c>
      <c r="GG11" s="26"/>
      <c r="GH11" s="26"/>
      <c r="GI11" s="21" t="s">
        <v>45</v>
      </c>
      <c r="GJ11" s="26"/>
      <c r="GK11" s="21" t="s">
        <v>43</v>
      </c>
      <c r="GL11" s="21" t="s">
        <v>45</v>
      </c>
      <c r="GM11" s="21" t="s">
        <v>45</v>
      </c>
      <c r="GN11" s="26"/>
      <c r="GO11" s="21" t="s">
        <v>43</v>
      </c>
      <c r="GP11" s="21" t="s">
        <v>45</v>
      </c>
      <c r="GQ11" s="21" t="s">
        <v>45</v>
      </c>
      <c r="GR11" s="21"/>
      <c r="GS11" s="21" t="s">
        <v>45</v>
      </c>
      <c r="GT11" s="26"/>
      <c r="GU11" s="26"/>
      <c r="GV11" s="28" t="s">
        <v>45</v>
      </c>
      <c r="GW11" s="21" t="s">
        <v>45</v>
      </c>
      <c r="GX11" s="21" t="s">
        <v>45</v>
      </c>
      <c r="GY11" s="21" t="s">
        <v>43</v>
      </c>
      <c r="GZ11" s="21" t="s">
        <v>43</v>
      </c>
      <c r="HA11" s="21" t="s">
        <v>43</v>
      </c>
      <c r="HB11" s="21"/>
      <c r="HC11" s="21" t="s">
        <v>45</v>
      </c>
      <c r="HD11" s="26"/>
      <c r="HE11" s="21" t="s">
        <v>45</v>
      </c>
      <c r="HF11" s="26"/>
      <c r="HG11" s="21" t="s">
        <v>45</v>
      </c>
      <c r="HH11" s="21" t="s">
        <v>43</v>
      </c>
      <c r="HI11" s="21" t="s">
        <v>43</v>
      </c>
      <c r="HJ11" s="21" t="s">
        <v>43</v>
      </c>
      <c r="HK11" s="21" t="s">
        <v>43</v>
      </c>
      <c r="HL11" s="21" t="s">
        <v>43</v>
      </c>
      <c r="HM11" s="21" t="s">
        <v>43</v>
      </c>
      <c r="HN11" s="21" t="s">
        <v>43</v>
      </c>
      <c r="HO11" s="21" t="s">
        <v>43</v>
      </c>
      <c r="HP11" s="21" t="s">
        <v>43</v>
      </c>
      <c r="HQ11" s="21" t="s">
        <v>43</v>
      </c>
      <c r="HR11" s="21" t="s">
        <v>43</v>
      </c>
      <c r="HS11" s="21" t="s">
        <v>43</v>
      </c>
      <c r="HT11" s="21" t="s">
        <v>43</v>
      </c>
    </row>
    <row r="12">
      <c r="A12" s="22"/>
      <c r="B12" s="21" t="s">
        <v>45</v>
      </c>
      <c r="C12" s="21" t="s">
        <v>71</v>
      </c>
      <c r="D12" s="21"/>
      <c r="E12" s="21"/>
      <c r="F12" s="23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35"/>
      <c r="S12" s="26"/>
      <c r="T12" s="21"/>
      <c r="U12" s="36"/>
      <c r="V12" s="21"/>
      <c r="W12" s="37"/>
      <c r="X12" s="21"/>
      <c r="Y12" s="21"/>
      <c r="Z12" s="21"/>
      <c r="AA12" s="21"/>
      <c r="AB12" s="38"/>
      <c r="AC12" s="21"/>
      <c r="AD12" s="26"/>
      <c r="AE12" s="21"/>
      <c r="AF12" s="21"/>
      <c r="AG12" s="21"/>
      <c r="AH12" s="21"/>
      <c r="AI12" s="21"/>
      <c r="AJ12" s="21"/>
      <c r="AK12" s="21"/>
      <c r="AL12" s="39"/>
      <c r="AM12" s="21"/>
      <c r="AN12" s="21"/>
      <c r="AO12" s="21"/>
      <c r="AP12" s="21"/>
      <c r="AQ12" s="21"/>
      <c r="AR12" s="26"/>
      <c r="AS12" s="21"/>
      <c r="AT12" s="21"/>
      <c r="AU12" s="21"/>
      <c r="AV12" s="21"/>
      <c r="AW12" s="26"/>
      <c r="AX12" s="21"/>
      <c r="AY12" s="21"/>
      <c r="AZ12" s="21"/>
      <c r="BA12" s="26"/>
      <c r="BB12" s="26"/>
      <c r="BC12" s="26"/>
      <c r="BD12" s="21"/>
      <c r="BE12" s="21"/>
      <c r="BF12" s="26"/>
      <c r="BG12" s="21"/>
      <c r="BH12" s="21"/>
      <c r="BI12" s="26"/>
      <c r="BJ12" s="21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 t="s">
        <v>45</v>
      </c>
      <c r="CU12" s="21"/>
      <c r="CV12" s="21" t="s">
        <v>45</v>
      </c>
      <c r="CW12" s="26"/>
      <c r="CX12" s="26"/>
      <c r="CY12" s="26"/>
      <c r="CZ12" s="26"/>
      <c r="DA12" s="26"/>
      <c r="DB12" s="26"/>
      <c r="DC12" s="21" t="s">
        <v>45</v>
      </c>
      <c r="DD12" s="21" t="s">
        <v>43</v>
      </c>
      <c r="DE12" s="21" t="s">
        <v>43</v>
      </c>
      <c r="DF12" s="21" t="s">
        <v>43</v>
      </c>
      <c r="DG12" s="21" t="s">
        <v>45</v>
      </c>
      <c r="DH12" s="21" t="s">
        <v>43</v>
      </c>
      <c r="DI12" s="26"/>
      <c r="DJ12" s="21" t="s">
        <v>43</v>
      </c>
      <c r="DK12" s="26"/>
      <c r="DL12" s="26"/>
      <c r="DM12" s="21" t="s">
        <v>43</v>
      </c>
      <c r="DN12" s="21" t="s">
        <v>43</v>
      </c>
      <c r="DO12" s="26"/>
      <c r="DP12" s="26"/>
      <c r="DQ12" s="26"/>
      <c r="DR12" s="21" t="s">
        <v>45</v>
      </c>
      <c r="DS12" s="21"/>
      <c r="DT12" s="21" t="s">
        <v>45</v>
      </c>
      <c r="DU12" s="21"/>
      <c r="DV12" s="21"/>
      <c r="DW12" s="21"/>
      <c r="DX12" s="21" t="s">
        <v>45</v>
      </c>
      <c r="DY12" s="21"/>
      <c r="DZ12" s="21"/>
      <c r="EA12" s="21"/>
      <c r="EB12" s="21"/>
      <c r="EC12" s="21"/>
      <c r="ED12" s="21"/>
      <c r="EE12" s="21"/>
      <c r="EF12" s="21"/>
      <c r="EG12" s="21" t="s">
        <v>56</v>
      </c>
      <c r="EH12" s="21"/>
      <c r="EI12" s="21"/>
      <c r="EJ12" s="21"/>
      <c r="EK12" s="21"/>
      <c r="EL12" s="21" t="s">
        <v>45</v>
      </c>
      <c r="EM12" s="21"/>
      <c r="EN12" s="21" t="s">
        <v>56</v>
      </c>
      <c r="EO12" s="21" t="s">
        <v>56</v>
      </c>
      <c r="EP12" s="21" t="s">
        <v>56</v>
      </c>
      <c r="EQ12" s="21" t="s">
        <v>56</v>
      </c>
      <c r="ER12" s="21" t="s">
        <v>45</v>
      </c>
      <c r="ES12" s="21" t="s">
        <v>43</v>
      </c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3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8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</row>
    <row r="13">
      <c r="A13" s="22"/>
      <c r="B13" s="21" t="s">
        <v>40</v>
      </c>
      <c r="C13" s="21" t="s">
        <v>72</v>
      </c>
      <c r="D13" s="21"/>
      <c r="E13" s="21">
        <v>4.079732377E9</v>
      </c>
      <c r="F13" s="23" t="s">
        <v>42</v>
      </c>
      <c r="G13" s="24" t="s">
        <v>47</v>
      </c>
      <c r="H13" s="24" t="s">
        <v>45</v>
      </c>
      <c r="I13" s="24" t="s">
        <v>42</v>
      </c>
      <c r="J13" s="24" t="s">
        <v>47</v>
      </c>
      <c r="K13" s="24" t="s">
        <v>45</v>
      </c>
      <c r="L13" s="24" t="s">
        <v>47</v>
      </c>
      <c r="M13" s="24" t="s">
        <v>43</v>
      </c>
      <c r="N13" s="24" t="s">
        <v>44</v>
      </c>
      <c r="O13" s="24" t="s">
        <v>47</v>
      </c>
      <c r="P13" s="24" t="s">
        <v>42</v>
      </c>
      <c r="Q13" s="24" t="s">
        <v>47</v>
      </c>
      <c r="R13" s="35"/>
      <c r="S13" s="26"/>
      <c r="T13" s="21" t="s">
        <v>73</v>
      </c>
      <c r="U13" s="36" t="s">
        <v>43</v>
      </c>
      <c r="V13" s="21" t="s">
        <v>45</v>
      </c>
      <c r="W13" s="37" t="s">
        <v>74</v>
      </c>
      <c r="X13" s="21" t="s">
        <v>45</v>
      </c>
      <c r="Y13" s="21" t="s">
        <v>47</v>
      </c>
      <c r="Z13" s="21" t="s">
        <v>45</v>
      </c>
      <c r="AA13" s="21" t="s">
        <v>45</v>
      </c>
      <c r="AB13" s="38" t="s">
        <v>74</v>
      </c>
      <c r="AC13" s="21" t="s">
        <v>45</v>
      </c>
      <c r="AD13" s="26"/>
      <c r="AE13" s="21" t="s">
        <v>44</v>
      </c>
      <c r="AF13" s="21" t="s">
        <v>45</v>
      </c>
      <c r="AG13" s="21" t="s">
        <v>45</v>
      </c>
      <c r="AH13" s="21" t="s">
        <v>42</v>
      </c>
      <c r="AI13" s="21" t="s">
        <v>45</v>
      </c>
      <c r="AJ13" s="21" t="s">
        <v>44</v>
      </c>
      <c r="AK13" s="21" t="s">
        <v>45</v>
      </c>
      <c r="AL13" s="39" t="s">
        <v>75</v>
      </c>
      <c r="AM13" s="21" t="s">
        <v>47</v>
      </c>
      <c r="AN13" s="21" t="s">
        <v>44</v>
      </c>
      <c r="AO13" s="21" t="s">
        <v>45</v>
      </c>
      <c r="AP13" s="21" t="s">
        <v>45</v>
      </c>
      <c r="AQ13" s="21" t="s">
        <v>44</v>
      </c>
      <c r="AR13" s="26"/>
      <c r="AS13" s="21" t="s">
        <v>45</v>
      </c>
      <c r="AT13" s="21" t="s">
        <v>45</v>
      </c>
      <c r="AU13" s="21" t="s">
        <v>43</v>
      </c>
      <c r="AV13" s="21" t="s">
        <v>43</v>
      </c>
      <c r="AW13" s="26"/>
      <c r="AX13" s="21" t="s">
        <v>45</v>
      </c>
      <c r="AY13" s="21" t="s">
        <v>44</v>
      </c>
      <c r="AZ13" s="21" t="s">
        <v>45</v>
      </c>
      <c r="BA13" s="26"/>
      <c r="BB13" s="26"/>
      <c r="BC13" s="26"/>
      <c r="BD13" s="21" t="s">
        <v>43</v>
      </c>
      <c r="BE13" s="21" t="s">
        <v>45</v>
      </c>
      <c r="BF13" s="26"/>
      <c r="BG13" s="21" t="s">
        <v>45</v>
      </c>
      <c r="BH13" s="21" t="s">
        <v>45</v>
      </c>
      <c r="BI13" s="26"/>
      <c r="BJ13" s="21" t="s">
        <v>43</v>
      </c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1" t="s">
        <v>45</v>
      </c>
      <c r="CI13" s="21" t="s">
        <v>44</v>
      </c>
      <c r="CJ13" s="21" t="s">
        <v>43</v>
      </c>
      <c r="CK13" s="21" t="s">
        <v>43</v>
      </c>
      <c r="CL13" s="21" t="s">
        <v>45</v>
      </c>
      <c r="CM13" s="21" t="s">
        <v>76</v>
      </c>
      <c r="CN13" s="21" t="s">
        <v>45</v>
      </c>
      <c r="CO13" s="21" t="s">
        <v>44</v>
      </c>
      <c r="CP13" s="21" t="s">
        <v>45</v>
      </c>
      <c r="CQ13" s="21" t="s">
        <v>44</v>
      </c>
      <c r="CR13" s="21" t="s">
        <v>43</v>
      </c>
      <c r="CS13" s="21" t="s">
        <v>45</v>
      </c>
      <c r="CT13" s="21" t="s">
        <v>43</v>
      </c>
      <c r="CU13" s="21" t="s">
        <v>44</v>
      </c>
      <c r="CV13" s="21" t="s">
        <v>43</v>
      </c>
      <c r="CW13" s="21" t="s">
        <v>43</v>
      </c>
      <c r="CX13" s="21" t="s">
        <v>43</v>
      </c>
      <c r="CY13" s="26"/>
      <c r="CZ13" s="26"/>
      <c r="DA13" s="21" t="s">
        <v>44</v>
      </c>
      <c r="DB13" s="21" t="s">
        <v>44</v>
      </c>
      <c r="DC13" s="21" t="s">
        <v>44</v>
      </c>
      <c r="DD13" s="21" t="s">
        <v>42</v>
      </c>
      <c r="DE13" s="21" t="s">
        <v>42</v>
      </c>
      <c r="DF13" s="21" t="s">
        <v>42</v>
      </c>
      <c r="DG13" s="26"/>
      <c r="DH13" s="21" t="s">
        <v>77</v>
      </c>
      <c r="DI13" s="21" t="s">
        <v>44</v>
      </c>
      <c r="DJ13" s="21" t="s">
        <v>45</v>
      </c>
      <c r="DK13" s="21" t="s">
        <v>43</v>
      </c>
      <c r="DL13" s="21" t="s">
        <v>77</v>
      </c>
      <c r="DM13" s="21" t="s">
        <v>43</v>
      </c>
      <c r="DN13" s="21" t="s">
        <v>42</v>
      </c>
      <c r="DO13" s="21" t="s">
        <v>45</v>
      </c>
      <c r="DP13" s="21" t="s">
        <v>44</v>
      </c>
      <c r="DQ13" s="21" t="s">
        <v>42</v>
      </c>
      <c r="DR13" s="21" t="s">
        <v>44</v>
      </c>
      <c r="DS13" s="21" t="s">
        <v>42</v>
      </c>
      <c r="DT13" s="21" t="s">
        <v>42</v>
      </c>
      <c r="DU13" s="21" t="s">
        <v>43</v>
      </c>
      <c r="DV13" s="21" t="s">
        <v>43</v>
      </c>
      <c r="DW13" s="21"/>
      <c r="DX13" s="21" t="s">
        <v>44</v>
      </c>
      <c r="DY13" s="21" t="s">
        <v>44</v>
      </c>
      <c r="DZ13" s="21" t="s">
        <v>78</v>
      </c>
      <c r="EA13" s="21" t="s">
        <v>58</v>
      </c>
      <c r="EB13" s="21" t="s">
        <v>45</v>
      </c>
      <c r="EC13" s="26"/>
      <c r="ED13" s="21" t="s">
        <v>45</v>
      </c>
      <c r="EE13" s="26"/>
      <c r="EF13" s="21" t="s">
        <v>44</v>
      </c>
      <c r="EG13" s="21" t="s">
        <v>44</v>
      </c>
      <c r="EH13" s="21" t="s">
        <v>77</v>
      </c>
      <c r="EI13" s="21" t="s">
        <v>43</v>
      </c>
      <c r="EJ13" s="21" t="s">
        <v>43</v>
      </c>
      <c r="EK13" s="21" t="s">
        <v>45</v>
      </c>
      <c r="EL13" s="21" t="s">
        <v>42</v>
      </c>
      <c r="EM13" s="21" t="s">
        <v>44</v>
      </c>
      <c r="EN13" s="21" t="s">
        <v>44</v>
      </c>
      <c r="EO13" s="21" t="s">
        <v>77</v>
      </c>
      <c r="EP13" s="21" t="s">
        <v>43</v>
      </c>
      <c r="EQ13" s="21" t="s">
        <v>44</v>
      </c>
      <c r="ER13" s="21" t="s">
        <v>42</v>
      </c>
      <c r="ES13" s="21" t="s">
        <v>43</v>
      </c>
      <c r="ET13" s="21" t="s">
        <v>42</v>
      </c>
      <c r="EU13" s="21" t="s">
        <v>44</v>
      </c>
      <c r="EV13" s="21" t="s">
        <v>45</v>
      </c>
      <c r="EW13" s="21" t="s">
        <v>44</v>
      </c>
      <c r="EX13" s="21" t="s">
        <v>77</v>
      </c>
      <c r="EY13" s="21" t="s">
        <v>43</v>
      </c>
      <c r="EZ13" s="21" t="s">
        <v>43</v>
      </c>
      <c r="FA13" s="21" t="s">
        <v>43</v>
      </c>
      <c r="FB13" s="21" t="s">
        <v>45</v>
      </c>
      <c r="FC13" s="21" t="s">
        <v>45</v>
      </c>
      <c r="FD13" s="26"/>
      <c r="FE13" s="26"/>
      <c r="FF13" s="21" t="s">
        <v>45</v>
      </c>
      <c r="FG13" s="26"/>
      <c r="FH13" s="21" t="s">
        <v>43</v>
      </c>
      <c r="FI13" s="31" t="s">
        <v>44</v>
      </c>
      <c r="FJ13" s="21" t="s">
        <v>44</v>
      </c>
      <c r="FK13" s="21" t="s">
        <v>45</v>
      </c>
      <c r="FL13" s="21" t="s">
        <v>45</v>
      </c>
      <c r="FM13" s="26"/>
      <c r="FN13" s="26"/>
      <c r="FO13" s="21" t="s">
        <v>45</v>
      </c>
      <c r="FP13" s="26"/>
      <c r="FQ13" s="21" t="s">
        <v>45</v>
      </c>
      <c r="FR13" s="21" t="s">
        <v>45</v>
      </c>
      <c r="FS13" s="21" t="s">
        <v>44</v>
      </c>
      <c r="FT13" s="21" t="s">
        <v>45</v>
      </c>
      <c r="FU13" s="21" t="s">
        <v>43</v>
      </c>
      <c r="FV13" s="21" t="s">
        <v>44</v>
      </c>
      <c r="FW13" s="21" t="s">
        <v>44</v>
      </c>
      <c r="FX13" s="21" t="s">
        <v>43</v>
      </c>
      <c r="FY13" s="21" t="s">
        <v>43</v>
      </c>
      <c r="FZ13" s="21" t="s">
        <v>44</v>
      </c>
      <c r="GA13" s="21" t="s">
        <v>45</v>
      </c>
      <c r="GB13" s="21" t="s">
        <v>43</v>
      </c>
      <c r="GC13" s="21" t="s">
        <v>45</v>
      </c>
      <c r="GD13" s="21" t="s">
        <v>43</v>
      </c>
      <c r="GE13" s="21" t="s">
        <v>45</v>
      </c>
      <c r="GF13" s="21" t="s">
        <v>42</v>
      </c>
      <c r="GG13" s="21" t="s">
        <v>58</v>
      </c>
      <c r="GH13" s="21" t="s">
        <v>45</v>
      </c>
      <c r="GI13" s="21" t="s">
        <v>43</v>
      </c>
      <c r="GJ13" s="21" t="s">
        <v>44</v>
      </c>
      <c r="GK13" s="21" t="s">
        <v>45</v>
      </c>
      <c r="GL13" s="21" t="s">
        <v>42</v>
      </c>
      <c r="GM13" s="21" t="s">
        <v>42</v>
      </c>
      <c r="GN13" s="21" t="s">
        <v>42</v>
      </c>
      <c r="GO13" s="21" t="s">
        <v>45</v>
      </c>
      <c r="GP13" s="21" t="s">
        <v>44</v>
      </c>
      <c r="GQ13" s="21" t="s">
        <v>42</v>
      </c>
      <c r="GR13" s="21" t="s">
        <v>43</v>
      </c>
      <c r="GS13" s="21" t="s">
        <v>42</v>
      </c>
      <c r="GT13" s="21" t="s">
        <v>42</v>
      </c>
      <c r="GU13" s="21" t="s">
        <v>45</v>
      </c>
      <c r="GV13" s="28" t="s">
        <v>42</v>
      </c>
      <c r="GW13" s="21" t="s">
        <v>44</v>
      </c>
      <c r="GX13" s="26"/>
      <c r="GY13" s="21" t="s">
        <v>45</v>
      </c>
      <c r="GZ13" s="21" t="s">
        <v>45</v>
      </c>
      <c r="HA13" s="21" t="s">
        <v>45</v>
      </c>
      <c r="HB13" s="21" t="s">
        <v>43</v>
      </c>
      <c r="HC13" s="21" t="s">
        <v>43</v>
      </c>
      <c r="HD13" s="21" t="s">
        <v>45</v>
      </c>
      <c r="HE13" s="21" t="s">
        <v>43</v>
      </c>
      <c r="HF13" s="21" t="s">
        <v>43</v>
      </c>
      <c r="HG13" s="21" t="s">
        <v>42</v>
      </c>
      <c r="HH13" s="21" t="s">
        <v>44</v>
      </c>
      <c r="HI13" s="21" t="s">
        <v>73</v>
      </c>
      <c r="HJ13" s="26"/>
      <c r="HK13" s="26"/>
      <c r="HL13" s="26"/>
      <c r="HM13" s="26"/>
      <c r="HN13" s="26"/>
      <c r="HO13" s="26"/>
      <c r="HP13" s="26"/>
      <c r="HQ13" s="26"/>
      <c r="HR13" s="26"/>
      <c r="HS13" s="26"/>
      <c r="HT13" s="40"/>
    </row>
    <row r="14" ht="15.0" customHeight="1">
      <c r="A14" s="22"/>
      <c r="B14" s="21" t="s">
        <v>79</v>
      </c>
      <c r="C14" s="21" t="s">
        <v>80</v>
      </c>
      <c r="D14" s="21"/>
      <c r="E14" s="21"/>
      <c r="F14" s="23" t="s">
        <v>44</v>
      </c>
      <c r="G14" s="24" t="s">
        <v>45</v>
      </c>
      <c r="H14" s="24" t="s">
        <v>43</v>
      </c>
      <c r="I14" s="24" t="s">
        <v>45</v>
      </c>
      <c r="J14" s="24" t="s">
        <v>44</v>
      </c>
      <c r="K14" s="24" t="s">
        <v>44</v>
      </c>
      <c r="L14" s="24" t="s">
        <v>43</v>
      </c>
      <c r="M14" s="24" t="s">
        <v>43</v>
      </c>
      <c r="N14" s="24" t="s">
        <v>45</v>
      </c>
      <c r="O14" s="24" t="s">
        <v>43</v>
      </c>
      <c r="P14" s="24" t="s">
        <v>44</v>
      </c>
      <c r="Q14" s="24" t="s">
        <v>44</v>
      </c>
      <c r="R14" s="35"/>
      <c r="S14" s="26"/>
      <c r="T14" s="21" t="s">
        <v>44</v>
      </c>
      <c r="U14" s="21" t="s">
        <v>43</v>
      </c>
      <c r="V14" s="21" t="s">
        <v>43</v>
      </c>
      <c r="W14" s="21" t="s">
        <v>43</v>
      </c>
      <c r="X14" s="21" t="s">
        <v>43</v>
      </c>
      <c r="Y14" s="21" t="s">
        <v>43</v>
      </c>
      <c r="Z14" s="21" t="s">
        <v>43</v>
      </c>
      <c r="AA14" s="21" t="s">
        <v>43</v>
      </c>
      <c r="AB14" s="21" t="s">
        <v>43</v>
      </c>
      <c r="AC14" s="21" t="s">
        <v>43</v>
      </c>
      <c r="AD14" s="21" t="s">
        <v>43</v>
      </c>
      <c r="AE14" s="21" t="s">
        <v>43</v>
      </c>
      <c r="AF14" s="21" t="s">
        <v>43</v>
      </c>
      <c r="AG14" s="21" t="s">
        <v>43</v>
      </c>
      <c r="AH14" s="21" t="s">
        <v>43</v>
      </c>
      <c r="AI14" s="21" t="s">
        <v>43</v>
      </c>
      <c r="AJ14" s="21" t="s">
        <v>43</v>
      </c>
      <c r="AK14" s="21" t="s">
        <v>43</v>
      </c>
      <c r="AL14" s="21" t="s">
        <v>43</v>
      </c>
      <c r="AM14" s="21" t="s">
        <v>43</v>
      </c>
      <c r="AN14" s="21" t="s">
        <v>43</v>
      </c>
      <c r="AO14" s="21" t="s">
        <v>43</v>
      </c>
      <c r="AP14" s="21" t="s">
        <v>43</v>
      </c>
      <c r="AQ14" s="21" t="s">
        <v>43</v>
      </c>
      <c r="AR14" s="21" t="s">
        <v>43</v>
      </c>
      <c r="AS14" s="21" t="s">
        <v>43</v>
      </c>
      <c r="AT14" s="21" t="s">
        <v>43</v>
      </c>
      <c r="AU14" s="21" t="s">
        <v>43</v>
      </c>
      <c r="AV14" s="21" t="s">
        <v>43</v>
      </c>
      <c r="AW14" s="21" t="s">
        <v>43</v>
      </c>
      <c r="AX14" s="21" t="s">
        <v>43</v>
      </c>
      <c r="AY14" s="21" t="s">
        <v>43</v>
      </c>
      <c r="AZ14" s="21" t="s">
        <v>43</v>
      </c>
      <c r="BA14" s="21" t="s">
        <v>43</v>
      </c>
      <c r="BB14" s="21" t="s">
        <v>43</v>
      </c>
      <c r="BC14" s="21" t="s">
        <v>43</v>
      </c>
      <c r="BD14" s="21" t="s">
        <v>43</v>
      </c>
      <c r="BE14" s="21" t="s">
        <v>43</v>
      </c>
      <c r="BF14" s="21" t="s">
        <v>43</v>
      </c>
      <c r="BG14" s="21" t="s">
        <v>43</v>
      </c>
      <c r="BH14" s="21" t="s">
        <v>43</v>
      </c>
      <c r="BI14" s="21" t="s">
        <v>43</v>
      </c>
      <c r="BJ14" s="21" t="s">
        <v>43</v>
      </c>
      <c r="BK14" s="21" t="s">
        <v>43</v>
      </c>
      <c r="BL14" s="21" t="s">
        <v>43</v>
      </c>
      <c r="BM14" s="21" t="s">
        <v>43</v>
      </c>
      <c r="BN14" s="21" t="s">
        <v>43</v>
      </c>
      <c r="BO14" s="21" t="s">
        <v>43</v>
      </c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41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42"/>
      <c r="GW14" s="3"/>
      <c r="GX14" s="3"/>
      <c r="GY14" s="3"/>
      <c r="GZ14" s="3"/>
      <c r="HA14" s="3"/>
      <c r="HB14" s="3"/>
      <c r="HC14" s="3"/>
      <c r="HD14" s="3"/>
      <c r="HE14" s="3"/>
      <c r="HF14" s="4" t="s">
        <v>58</v>
      </c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</row>
    <row r="15" hidden="1">
      <c r="A15" s="22"/>
      <c r="B15" s="21" t="s">
        <v>45</v>
      </c>
      <c r="C15" s="21" t="s">
        <v>81</v>
      </c>
      <c r="D15" s="21"/>
      <c r="E15" s="21"/>
      <c r="F15" s="23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35"/>
      <c r="S15" s="26"/>
      <c r="T15" s="21"/>
      <c r="U15" s="36"/>
      <c r="V15" s="21"/>
      <c r="W15" s="37"/>
      <c r="X15" s="21"/>
      <c r="Y15" s="21"/>
      <c r="Z15" s="21"/>
      <c r="AA15" s="21"/>
      <c r="AB15" s="38"/>
      <c r="AC15" s="21"/>
      <c r="AD15" s="26"/>
      <c r="AE15" s="21"/>
      <c r="AF15" s="21"/>
      <c r="AG15" s="21"/>
      <c r="AH15" s="21"/>
      <c r="AI15" s="21"/>
      <c r="AJ15" s="21"/>
      <c r="AK15" s="21"/>
      <c r="AL15" s="39"/>
      <c r="AM15" s="21"/>
      <c r="AN15" s="21"/>
      <c r="AO15" s="21"/>
      <c r="AP15" s="21"/>
      <c r="AQ15" s="21"/>
      <c r="AR15" s="26"/>
      <c r="AS15" s="21"/>
      <c r="AT15" s="21"/>
      <c r="AU15" s="21"/>
      <c r="AV15" s="21"/>
      <c r="AW15" s="26"/>
      <c r="AX15" s="21"/>
      <c r="AY15" s="21"/>
      <c r="AZ15" s="21"/>
      <c r="BA15" s="26"/>
      <c r="BB15" s="26"/>
      <c r="BC15" s="26"/>
      <c r="BD15" s="21"/>
      <c r="BE15" s="21"/>
      <c r="BF15" s="26"/>
      <c r="BG15" s="21"/>
      <c r="BH15" s="21"/>
      <c r="BI15" s="26"/>
      <c r="BJ15" s="21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6"/>
      <c r="CW15" s="26"/>
      <c r="CX15" s="26"/>
      <c r="CY15" s="21" t="s">
        <v>45</v>
      </c>
      <c r="CZ15" s="26"/>
      <c r="DA15" s="26"/>
      <c r="DB15" s="26"/>
      <c r="DC15" s="26"/>
      <c r="DD15" s="26"/>
      <c r="DE15" s="21" t="s">
        <v>45</v>
      </c>
      <c r="DF15" s="26"/>
      <c r="DG15" s="26"/>
      <c r="DH15" s="21" t="s">
        <v>45</v>
      </c>
      <c r="DI15" s="26"/>
      <c r="DJ15" s="26"/>
      <c r="DK15" s="21" t="s">
        <v>45</v>
      </c>
      <c r="DL15" s="26"/>
      <c r="DM15" s="26"/>
      <c r="DN15" s="26"/>
      <c r="DO15" s="26"/>
      <c r="DP15" s="21" t="s">
        <v>45</v>
      </c>
      <c r="DQ15" s="26"/>
      <c r="DR15" s="26"/>
      <c r="DS15" s="21" t="s">
        <v>45</v>
      </c>
      <c r="DT15" s="21"/>
      <c r="DU15" s="21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43"/>
      <c r="FJ15" s="44"/>
      <c r="FK15" s="44"/>
      <c r="FL15" s="44"/>
      <c r="FM15" s="44"/>
      <c r="FN15" s="44"/>
      <c r="FO15" s="44"/>
      <c r="FP15" s="44"/>
      <c r="FQ15" s="44"/>
      <c r="FR15" s="44"/>
      <c r="FS15" s="44"/>
      <c r="FT15" s="44"/>
      <c r="FU15" s="44"/>
      <c r="FV15" s="44"/>
      <c r="FW15" s="44"/>
      <c r="FX15" s="44"/>
      <c r="FY15" s="44"/>
      <c r="FZ15" s="44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40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</row>
    <row r="16">
      <c r="A16" s="45"/>
      <c r="B16" s="21" t="s">
        <v>82</v>
      </c>
      <c r="C16" s="21" t="s">
        <v>83</v>
      </c>
      <c r="D16" s="21"/>
      <c r="E16" s="21">
        <v>4.239035279E9</v>
      </c>
      <c r="F16" s="23" t="s">
        <v>84</v>
      </c>
      <c r="G16" s="24" t="s">
        <v>84</v>
      </c>
      <c r="H16" s="24" t="s">
        <v>84</v>
      </c>
      <c r="I16" s="24" t="s">
        <v>43</v>
      </c>
      <c r="J16" s="24" t="s">
        <v>84</v>
      </c>
      <c r="K16" s="24" t="s">
        <v>84</v>
      </c>
      <c r="L16" s="24" t="s">
        <v>84</v>
      </c>
      <c r="M16" s="24" t="s">
        <v>84</v>
      </c>
      <c r="N16" s="24" t="s">
        <v>84</v>
      </c>
      <c r="O16" s="24" t="s">
        <v>84</v>
      </c>
      <c r="P16" s="24" t="s">
        <v>43</v>
      </c>
      <c r="Q16" s="24" t="s">
        <v>84</v>
      </c>
      <c r="R16" s="25" t="s">
        <v>84</v>
      </c>
      <c r="S16" s="21" t="s">
        <v>84</v>
      </c>
      <c r="T16" s="21" t="s">
        <v>47</v>
      </c>
      <c r="U16" s="21" t="s">
        <v>43</v>
      </c>
      <c r="V16" s="21" t="s">
        <v>84</v>
      </c>
      <c r="W16" s="21" t="s">
        <v>84</v>
      </c>
      <c r="X16" s="21" t="s">
        <v>84</v>
      </c>
      <c r="Y16" s="21" t="s">
        <v>84</v>
      </c>
      <c r="Z16" s="21" t="s">
        <v>84</v>
      </c>
      <c r="AA16" s="21" t="s">
        <v>84</v>
      </c>
      <c r="AB16" s="21" t="s">
        <v>84</v>
      </c>
      <c r="AC16" s="21" t="s">
        <v>84</v>
      </c>
      <c r="AD16" s="21" t="s">
        <v>84</v>
      </c>
      <c r="AE16" s="21" t="s">
        <v>84</v>
      </c>
      <c r="AF16" s="21" t="s">
        <v>84</v>
      </c>
      <c r="AG16" s="21" t="s">
        <v>84</v>
      </c>
      <c r="AH16" s="21" t="s">
        <v>84</v>
      </c>
      <c r="AI16" s="21" t="s">
        <v>84</v>
      </c>
      <c r="AJ16" s="21" t="s">
        <v>43</v>
      </c>
      <c r="AK16" s="21" t="s">
        <v>84</v>
      </c>
      <c r="AL16" s="21" t="s">
        <v>84</v>
      </c>
      <c r="AM16" s="21" t="s">
        <v>84</v>
      </c>
      <c r="AN16" s="21" t="s">
        <v>43</v>
      </c>
      <c r="AO16" s="21" t="s">
        <v>84</v>
      </c>
      <c r="AP16" s="21" t="s">
        <v>84</v>
      </c>
      <c r="AQ16" s="21" t="s">
        <v>84</v>
      </c>
      <c r="AR16" s="21" t="s">
        <v>84</v>
      </c>
      <c r="AS16" s="21" t="s">
        <v>84</v>
      </c>
      <c r="AT16" s="21" t="s">
        <v>84</v>
      </c>
      <c r="AU16" s="21" t="s">
        <v>84</v>
      </c>
      <c r="AV16" s="21" t="s">
        <v>84</v>
      </c>
      <c r="AW16" s="21" t="s">
        <v>84</v>
      </c>
      <c r="AX16" s="21" t="s">
        <v>84</v>
      </c>
      <c r="AY16" s="21" t="s">
        <v>84</v>
      </c>
      <c r="AZ16" s="21" t="s">
        <v>43</v>
      </c>
      <c r="BA16" s="21" t="s">
        <v>85</v>
      </c>
      <c r="BB16" s="26"/>
      <c r="BC16" s="26"/>
      <c r="BD16" s="21" t="s">
        <v>84</v>
      </c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1" t="s">
        <v>84</v>
      </c>
      <c r="CH16" s="21" t="s">
        <v>84</v>
      </c>
      <c r="CI16" s="21" t="s">
        <v>84</v>
      </c>
      <c r="CJ16" s="21" t="s">
        <v>84</v>
      </c>
      <c r="CK16" s="21" t="s">
        <v>84</v>
      </c>
      <c r="CL16" s="21" t="s">
        <v>84</v>
      </c>
      <c r="CM16" s="21" t="s">
        <v>84</v>
      </c>
      <c r="CN16" s="21" t="s">
        <v>84</v>
      </c>
      <c r="CO16" s="21" t="s">
        <v>84</v>
      </c>
      <c r="CP16" s="21" t="s">
        <v>84</v>
      </c>
      <c r="CQ16" s="21" t="s">
        <v>84</v>
      </c>
      <c r="CR16" s="21" t="s">
        <v>84</v>
      </c>
      <c r="CS16" s="21" t="s">
        <v>84</v>
      </c>
      <c r="CT16" s="21" t="s">
        <v>84</v>
      </c>
      <c r="CU16" s="21" t="s">
        <v>84</v>
      </c>
      <c r="CV16" s="21" t="s">
        <v>84</v>
      </c>
      <c r="CW16" s="26"/>
      <c r="CX16" s="26"/>
      <c r="CY16" s="26"/>
      <c r="CZ16" s="21" t="s">
        <v>43</v>
      </c>
      <c r="DA16" s="21" t="s">
        <v>43</v>
      </c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 t="s">
        <v>82</v>
      </c>
      <c r="DM16" s="21" t="s">
        <v>82</v>
      </c>
      <c r="DN16" s="21" t="s">
        <v>82</v>
      </c>
      <c r="DO16" s="21" t="s">
        <v>82</v>
      </c>
      <c r="DP16" s="21" t="s">
        <v>82</v>
      </c>
      <c r="DQ16" s="21" t="s">
        <v>82</v>
      </c>
      <c r="DR16" s="21" t="s">
        <v>82</v>
      </c>
      <c r="DS16" s="21" t="s">
        <v>82</v>
      </c>
      <c r="DT16" s="21" t="s">
        <v>82</v>
      </c>
      <c r="DU16" s="21" t="s">
        <v>44</v>
      </c>
      <c r="DV16" s="21" t="s">
        <v>44</v>
      </c>
      <c r="DW16" s="21" t="s">
        <v>44</v>
      </c>
      <c r="DX16" s="21" t="s">
        <v>82</v>
      </c>
      <c r="DY16" s="21" t="s">
        <v>82</v>
      </c>
      <c r="DZ16" s="21" t="s">
        <v>82</v>
      </c>
      <c r="EA16" s="21" t="s">
        <v>44</v>
      </c>
      <c r="EB16" s="21" t="s">
        <v>82</v>
      </c>
      <c r="EC16" s="21" t="s">
        <v>82</v>
      </c>
      <c r="ED16" s="21" t="s">
        <v>82</v>
      </c>
      <c r="EE16" s="21" t="s">
        <v>82</v>
      </c>
      <c r="EF16" s="21" t="s">
        <v>82</v>
      </c>
      <c r="EG16" s="21" t="s">
        <v>82</v>
      </c>
      <c r="EH16" s="21" t="s">
        <v>82</v>
      </c>
      <c r="EI16" s="21" t="s">
        <v>82</v>
      </c>
      <c r="EJ16" s="21" t="s">
        <v>82</v>
      </c>
      <c r="EK16" s="21" t="s">
        <v>82</v>
      </c>
      <c r="EL16" s="21" t="s">
        <v>82</v>
      </c>
      <c r="EM16" s="21" t="s">
        <v>82</v>
      </c>
      <c r="EN16" s="21" t="s">
        <v>82</v>
      </c>
      <c r="EO16" s="21" t="s">
        <v>82</v>
      </c>
      <c r="EP16" s="21" t="s">
        <v>82</v>
      </c>
      <c r="EQ16" s="21" t="s">
        <v>82</v>
      </c>
      <c r="ER16" s="21" t="s">
        <v>82</v>
      </c>
      <c r="ES16" s="21" t="s">
        <v>82</v>
      </c>
      <c r="ET16" s="21" t="s">
        <v>82</v>
      </c>
      <c r="EU16" s="21" t="s">
        <v>82</v>
      </c>
      <c r="EV16" s="21" t="s">
        <v>44</v>
      </c>
      <c r="EW16" s="21" t="s">
        <v>43</v>
      </c>
      <c r="EX16" s="21" t="s">
        <v>44</v>
      </c>
      <c r="EY16" s="21" t="s">
        <v>82</v>
      </c>
      <c r="EZ16" s="21" t="s">
        <v>44</v>
      </c>
      <c r="FA16" s="21" t="s">
        <v>43</v>
      </c>
      <c r="FB16" s="21" t="s">
        <v>44</v>
      </c>
      <c r="FC16" s="21" t="s">
        <v>82</v>
      </c>
      <c r="FD16" s="21" t="s">
        <v>82</v>
      </c>
      <c r="FE16" s="21" t="s">
        <v>82</v>
      </c>
      <c r="FF16" s="21" t="s">
        <v>82</v>
      </c>
      <c r="FG16" s="21" t="s">
        <v>82</v>
      </c>
      <c r="FH16" s="21" t="s">
        <v>44</v>
      </c>
      <c r="FI16" s="21" t="s">
        <v>82</v>
      </c>
      <c r="FJ16" s="21" t="s">
        <v>82</v>
      </c>
      <c r="FK16" s="21" t="s">
        <v>82</v>
      </c>
      <c r="FL16" s="21" t="s">
        <v>44</v>
      </c>
      <c r="FM16" s="21" t="s">
        <v>43</v>
      </c>
      <c r="FN16" s="21" t="s">
        <v>82</v>
      </c>
      <c r="FO16" s="21" t="s">
        <v>82</v>
      </c>
      <c r="FP16" s="21" t="s">
        <v>82</v>
      </c>
      <c r="FQ16" s="21" t="s">
        <v>82</v>
      </c>
      <c r="FR16" s="21" t="s">
        <v>82</v>
      </c>
      <c r="FS16" s="21" t="s">
        <v>82</v>
      </c>
      <c r="FT16" s="21" t="s">
        <v>82</v>
      </c>
      <c r="FU16" s="21"/>
      <c r="FV16" s="21" t="s">
        <v>43</v>
      </c>
      <c r="FW16" s="21" t="s">
        <v>82</v>
      </c>
      <c r="FX16" s="21"/>
      <c r="FY16" s="21" t="s">
        <v>44</v>
      </c>
      <c r="FZ16" s="21" t="s">
        <v>82</v>
      </c>
      <c r="GA16" s="21" t="s">
        <v>82</v>
      </c>
      <c r="GB16" s="21" t="s">
        <v>82</v>
      </c>
      <c r="GC16" s="21" t="s">
        <v>82</v>
      </c>
      <c r="GD16" s="21" t="s">
        <v>82</v>
      </c>
      <c r="GE16" s="21" t="s">
        <v>82</v>
      </c>
      <c r="GF16" s="21" t="s">
        <v>82</v>
      </c>
      <c r="GG16" s="21" t="s">
        <v>82</v>
      </c>
      <c r="GH16" s="21" t="s">
        <v>82</v>
      </c>
      <c r="GI16" s="21" t="s">
        <v>43</v>
      </c>
      <c r="GJ16" s="21" t="s">
        <v>82</v>
      </c>
      <c r="GK16" s="21" t="s">
        <v>82</v>
      </c>
      <c r="GL16" s="21" t="s">
        <v>82</v>
      </c>
      <c r="GM16" s="21" t="s">
        <v>82</v>
      </c>
      <c r="GN16" s="21" t="s">
        <v>82</v>
      </c>
      <c r="GO16" s="21" t="s">
        <v>82</v>
      </c>
      <c r="GP16" s="21" t="s">
        <v>82</v>
      </c>
      <c r="GQ16" s="21" t="s">
        <v>82</v>
      </c>
      <c r="GR16" s="21" t="s">
        <v>82</v>
      </c>
      <c r="GS16" s="21" t="s">
        <v>82</v>
      </c>
      <c r="GT16" s="21" t="s">
        <v>82</v>
      </c>
      <c r="GU16" s="21" t="s">
        <v>82</v>
      </c>
      <c r="GV16" s="21" t="s">
        <v>43</v>
      </c>
      <c r="GW16" s="21" t="s">
        <v>82</v>
      </c>
      <c r="GX16" s="21" t="s">
        <v>82</v>
      </c>
      <c r="GY16" s="21" t="s">
        <v>82</v>
      </c>
      <c r="GZ16" s="21" t="s">
        <v>82</v>
      </c>
      <c r="HA16" s="21" t="s">
        <v>82</v>
      </c>
      <c r="HB16" s="21" t="s">
        <v>82</v>
      </c>
      <c r="HC16" s="21" t="s">
        <v>82</v>
      </c>
      <c r="HD16" s="21" t="s">
        <v>82</v>
      </c>
      <c r="HE16" s="21" t="s">
        <v>82</v>
      </c>
      <c r="HF16" s="21" t="s">
        <v>82</v>
      </c>
      <c r="HG16" s="21" t="s">
        <v>82</v>
      </c>
      <c r="HH16" s="21" t="s">
        <v>82</v>
      </c>
      <c r="HI16" s="21" t="s">
        <v>82</v>
      </c>
      <c r="HJ16" s="21" t="s">
        <v>82</v>
      </c>
      <c r="HK16" s="21" t="s">
        <v>82</v>
      </c>
      <c r="HL16" s="21" t="s">
        <v>82</v>
      </c>
      <c r="HM16" s="21" t="s">
        <v>82</v>
      </c>
      <c r="HN16" s="21"/>
      <c r="HO16" s="21"/>
      <c r="HP16" s="21"/>
      <c r="HQ16" s="21"/>
      <c r="HR16" s="21"/>
      <c r="HS16" s="21"/>
      <c r="HT16" s="21"/>
    </row>
    <row r="17">
      <c r="A17" s="45"/>
      <c r="B17" s="21" t="s">
        <v>44</v>
      </c>
      <c r="C17" s="21" t="s">
        <v>86</v>
      </c>
      <c r="D17" s="21"/>
      <c r="E17" s="21"/>
      <c r="F17" s="23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5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6"/>
      <c r="BC17" s="26"/>
      <c r="BD17" s="21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6"/>
      <c r="CX17" s="26"/>
      <c r="CY17" s="26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 t="s">
        <v>44</v>
      </c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8"/>
    </row>
    <row r="18">
      <c r="A18" s="22"/>
      <c r="B18" s="21" t="s">
        <v>62</v>
      </c>
      <c r="C18" s="21" t="s">
        <v>87</v>
      </c>
      <c r="D18" s="21"/>
      <c r="E18" s="21">
        <v>9.197494595E9</v>
      </c>
      <c r="F18" s="46"/>
      <c r="G18" s="24" t="s">
        <v>62</v>
      </c>
      <c r="H18" s="29"/>
      <c r="I18" s="24" t="s">
        <v>43</v>
      </c>
      <c r="J18" s="24" t="s">
        <v>43</v>
      </c>
      <c r="K18" s="24" t="s">
        <v>62</v>
      </c>
      <c r="L18" s="24" t="s">
        <v>62</v>
      </c>
      <c r="M18" s="24" t="s">
        <v>43</v>
      </c>
      <c r="N18" s="24" t="s">
        <v>43</v>
      </c>
      <c r="O18" s="24" t="s">
        <v>62</v>
      </c>
      <c r="P18" s="24" t="s">
        <v>43</v>
      </c>
      <c r="Q18" s="24" t="s">
        <v>62</v>
      </c>
      <c r="R18" s="35"/>
      <c r="S18" s="21" t="s">
        <v>62</v>
      </c>
      <c r="T18" s="26"/>
      <c r="U18" s="26"/>
      <c r="V18" s="21" t="s">
        <v>62</v>
      </c>
      <c r="W18" s="21" t="s">
        <v>43</v>
      </c>
      <c r="X18" s="21" t="s">
        <v>62</v>
      </c>
      <c r="Y18" s="26"/>
      <c r="Z18" s="21" t="s">
        <v>62</v>
      </c>
      <c r="AA18" s="26"/>
      <c r="AB18" s="21" t="s">
        <v>62</v>
      </c>
      <c r="AC18" s="26"/>
      <c r="AD18" s="21" t="s">
        <v>43</v>
      </c>
      <c r="AE18" s="26"/>
      <c r="AF18" s="21" t="s">
        <v>62</v>
      </c>
      <c r="AG18" s="26"/>
      <c r="AH18" s="21" t="s">
        <v>62</v>
      </c>
      <c r="AI18" s="21" t="s">
        <v>43</v>
      </c>
      <c r="AJ18" s="21" t="s">
        <v>43</v>
      </c>
      <c r="AK18" s="26"/>
      <c r="AL18" s="21" t="s">
        <v>62</v>
      </c>
      <c r="AM18" s="26"/>
      <c r="AN18" s="26"/>
      <c r="AO18" s="21" t="s">
        <v>62</v>
      </c>
      <c r="AP18" s="26"/>
      <c r="AQ18" s="21" t="s">
        <v>62</v>
      </c>
      <c r="AR18" s="26"/>
      <c r="AS18" s="21" t="s">
        <v>62</v>
      </c>
      <c r="AT18" s="26"/>
      <c r="AU18" s="21" t="s">
        <v>62</v>
      </c>
      <c r="AV18" s="26"/>
      <c r="AW18" s="21" t="s">
        <v>62</v>
      </c>
      <c r="AX18" s="26"/>
      <c r="AY18" s="21" t="s">
        <v>62</v>
      </c>
      <c r="AZ18" s="26"/>
      <c r="BA18" s="21"/>
      <c r="BB18" s="21" t="s">
        <v>62</v>
      </c>
      <c r="BC18" s="26"/>
      <c r="BD18" s="21" t="s">
        <v>62</v>
      </c>
      <c r="BE18" s="21" t="s">
        <v>43</v>
      </c>
      <c r="BF18" s="21" t="s">
        <v>43</v>
      </c>
      <c r="BG18" s="21" t="s">
        <v>43</v>
      </c>
      <c r="BH18" s="21" t="s">
        <v>43</v>
      </c>
      <c r="BI18" s="21" t="s">
        <v>62</v>
      </c>
      <c r="BJ18" s="21" t="s">
        <v>62</v>
      </c>
      <c r="BK18" s="21" t="s">
        <v>43</v>
      </c>
      <c r="BL18" s="26"/>
      <c r="BM18" s="26"/>
      <c r="BN18" s="26"/>
      <c r="BO18" s="26"/>
      <c r="BP18" s="21" t="s">
        <v>62</v>
      </c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1" t="s">
        <v>62</v>
      </c>
      <c r="CH18" s="21" t="s">
        <v>62</v>
      </c>
      <c r="CI18" s="21" t="s">
        <v>43</v>
      </c>
      <c r="CJ18" s="21" t="s">
        <v>43</v>
      </c>
      <c r="CK18" s="21" t="s">
        <v>43</v>
      </c>
      <c r="CL18" s="21" t="s">
        <v>43</v>
      </c>
      <c r="CM18" s="21" t="s">
        <v>62</v>
      </c>
      <c r="CN18" s="21" t="s">
        <v>88</v>
      </c>
      <c r="CO18" s="21" t="s">
        <v>62</v>
      </c>
      <c r="CP18" s="21" t="s">
        <v>88</v>
      </c>
      <c r="CQ18" s="21" t="s">
        <v>62</v>
      </c>
      <c r="CR18" s="21" t="s">
        <v>88</v>
      </c>
      <c r="CS18" s="21" t="s">
        <v>88</v>
      </c>
      <c r="CT18" s="21" t="s">
        <v>43</v>
      </c>
      <c r="CU18" s="21" t="s">
        <v>88</v>
      </c>
      <c r="CV18" s="21" t="s">
        <v>62</v>
      </c>
      <c r="CW18" s="26"/>
      <c r="CX18" s="26"/>
      <c r="CY18" s="26"/>
      <c r="CZ18" s="26"/>
      <c r="DA18" s="26"/>
      <c r="DB18" s="21" t="s">
        <v>62</v>
      </c>
      <c r="DC18" s="21" t="s">
        <v>62</v>
      </c>
      <c r="DD18" s="21" t="s">
        <v>43</v>
      </c>
      <c r="DE18" s="21"/>
      <c r="DF18" s="21" t="s">
        <v>62</v>
      </c>
      <c r="DG18" s="21"/>
      <c r="DH18" s="21" t="s">
        <v>62</v>
      </c>
      <c r="DI18" s="26"/>
      <c r="DJ18" s="26"/>
      <c r="DK18" s="21" t="s">
        <v>62</v>
      </c>
      <c r="DL18" s="21" t="s">
        <v>62</v>
      </c>
      <c r="DM18" s="26"/>
      <c r="DN18" s="26"/>
      <c r="DO18" s="21" t="s">
        <v>62</v>
      </c>
      <c r="DP18" s="21" t="s">
        <v>62</v>
      </c>
      <c r="DQ18" s="26"/>
      <c r="DR18" s="26"/>
      <c r="DS18" s="21"/>
      <c r="DT18" s="21" t="s">
        <v>62</v>
      </c>
      <c r="DU18" s="21" t="s">
        <v>62</v>
      </c>
      <c r="DV18" s="21" t="s">
        <v>62</v>
      </c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1" t="s">
        <v>62</v>
      </c>
      <c r="EQ18" s="21" t="s">
        <v>62</v>
      </c>
      <c r="ER18" s="26"/>
      <c r="ES18" s="26"/>
      <c r="ET18" s="21"/>
      <c r="EU18" s="21" t="s">
        <v>89</v>
      </c>
      <c r="EV18" s="21" t="s">
        <v>62</v>
      </c>
      <c r="EW18" s="21" t="s">
        <v>62</v>
      </c>
      <c r="EX18" s="21" t="s">
        <v>62</v>
      </c>
      <c r="EY18" s="26"/>
      <c r="EZ18" s="26"/>
      <c r="FA18" s="26"/>
      <c r="FB18" s="26"/>
      <c r="FC18" s="26"/>
      <c r="FD18" s="26"/>
      <c r="FE18" s="26"/>
      <c r="FF18" s="26"/>
      <c r="FG18" s="26"/>
      <c r="FH18" s="21" t="s">
        <v>62</v>
      </c>
      <c r="FI18" s="31" t="s">
        <v>62</v>
      </c>
      <c r="FJ18" s="21"/>
      <c r="FK18" s="26"/>
      <c r="FL18" s="21" t="s">
        <v>43</v>
      </c>
      <c r="FM18" s="26"/>
      <c r="FN18" s="21" t="s">
        <v>62</v>
      </c>
      <c r="FO18" s="26"/>
      <c r="FP18" s="26"/>
      <c r="FQ18" s="26"/>
      <c r="FR18" s="21" t="s">
        <v>62</v>
      </c>
      <c r="FS18" s="21" t="s">
        <v>62</v>
      </c>
      <c r="FT18" s="26"/>
      <c r="FU18" s="26"/>
      <c r="FV18" s="21" t="s">
        <v>62</v>
      </c>
      <c r="FW18" s="26"/>
      <c r="FX18" s="26"/>
      <c r="FY18" s="21" t="s">
        <v>62</v>
      </c>
      <c r="FZ18" s="26"/>
      <c r="GA18" s="21" t="s">
        <v>62</v>
      </c>
      <c r="GB18" s="21"/>
      <c r="GC18" s="21" t="s">
        <v>62</v>
      </c>
      <c r="GD18" s="21" t="s">
        <v>43</v>
      </c>
      <c r="GE18" s="21"/>
      <c r="GF18" s="21" t="s">
        <v>43</v>
      </c>
      <c r="GG18" s="21" t="s">
        <v>62</v>
      </c>
      <c r="GH18" s="21" t="s">
        <v>43</v>
      </c>
      <c r="GI18" s="26"/>
      <c r="GJ18" s="21" t="s">
        <v>62</v>
      </c>
      <c r="GK18" s="21" t="s">
        <v>43</v>
      </c>
      <c r="GL18" s="21" t="s">
        <v>62</v>
      </c>
      <c r="GM18" s="26"/>
      <c r="GN18" s="26"/>
      <c r="GO18" s="21" t="s">
        <v>62</v>
      </c>
      <c r="GP18" s="26"/>
      <c r="GQ18" s="21"/>
      <c r="GR18" s="26"/>
      <c r="GS18" s="21" t="s">
        <v>62</v>
      </c>
      <c r="GT18" s="21" t="s">
        <v>62</v>
      </c>
      <c r="GU18" s="21" t="s">
        <v>43</v>
      </c>
      <c r="GV18" s="28" t="s">
        <v>62</v>
      </c>
      <c r="GW18" s="21" t="s">
        <v>43</v>
      </c>
      <c r="GX18" s="21" t="s">
        <v>62</v>
      </c>
      <c r="GY18" s="21" t="s">
        <v>62</v>
      </c>
      <c r="GZ18" s="21" t="s">
        <v>43</v>
      </c>
      <c r="HA18" s="21" t="s">
        <v>43</v>
      </c>
      <c r="HB18" s="21"/>
      <c r="HC18" s="21" t="s">
        <v>62</v>
      </c>
      <c r="HD18" s="21" t="s">
        <v>62</v>
      </c>
      <c r="HE18" s="26"/>
      <c r="HF18" s="21" t="s">
        <v>62</v>
      </c>
      <c r="HG18" s="26"/>
      <c r="HH18" s="26"/>
      <c r="HI18" s="26"/>
      <c r="HJ18" s="26"/>
      <c r="HK18" s="26"/>
      <c r="HL18" s="26"/>
      <c r="HM18" s="26"/>
      <c r="HN18" s="26"/>
      <c r="HO18" s="26"/>
      <c r="HP18" s="26"/>
      <c r="HQ18" s="26"/>
      <c r="HR18" s="26"/>
      <c r="HS18" s="26"/>
      <c r="HT18" s="40"/>
    </row>
    <row r="19" hidden="1">
      <c r="A19" s="22"/>
      <c r="B19" s="21" t="s">
        <v>90</v>
      </c>
      <c r="C19" s="21" t="s">
        <v>91</v>
      </c>
      <c r="D19" s="21"/>
      <c r="E19" s="21"/>
      <c r="F19" s="23" t="s">
        <v>92</v>
      </c>
      <c r="G19" s="24" t="s">
        <v>43</v>
      </c>
      <c r="H19" s="24" t="s">
        <v>43</v>
      </c>
      <c r="I19" s="24" t="s">
        <v>92</v>
      </c>
      <c r="J19" s="24" t="s">
        <v>43</v>
      </c>
      <c r="K19" s="24" t="s">
        <v>92</v>
      </c>
      <c r="L19" s="24" t="s">
        <v>92</v>
      </c>
      <c r="M19" s="24" t="s">
        <v>92</v>
      </c>
      <c r="N19" s="24" t="s">
        <v>92</v>
      </c>
      <c r="O19" s="24" t="s">
        <v>92</v>
      </c>
      <c r="P19" s="24" t="s">
        <v>43</v>
      </c>
      <c r="Q19" s="24" t="s">
        <v>43</v>
      </c>
      <c r="R19" s="25" t="s">
        <v>92</v>
      </c>
      <c r="S19" s="21" t="s">
        <v>43</v>
      </c>
      <c r="T19" s="21" t="s">
        <v>92</v>
      </c>
      <c r="U19" s="26"/>
      <c r="V19" s="26"/>
      <c r="W19" s="26"/>
      <c r="X19" s="21" t="s">
        <v>92</v>
      </c>
      <c r="Y19" s="21" t="s">
        <v>92</v>
      </c>
      <c r="Z19" s="21" t="s">
        <v>43</v>
      </c>
      <c r="AA19" s="21" t="s">
        <v>92</v>
      </c>
      <c r="AB19" s="21" t="s">
        <v>92</v>
      </c>
      <c r="AC19" s="21" t="s">
        <v>43</v>
      </c>
      <c r="AD19" s="21" t="s">
        <v>92</v>
      </c>
      <c r="AE19" s="21" t="s">
        <v>92</v>
      </c>
      <c r="AF19" s="21" t="s">
        <v>43</v>
      </c>
      <c r="AG19" s="21" t="s">
        <v>43</v>
      </c>
      <c r="AH19" s="21" t="s">
        <v>92</v>
      </c>
      <c r="AI19" s="21" t="s">
        <v>92</v>
      </c>
      <c r="AJ19" s="21" t="s">
        <v>43</v>
      </c>
      <c r="AK19" s="21" t="s">
        <v>92</v>
      </c>
      <c r="AL19" s="21" t="s">
        <v>92</v>
      </c>
      <c r="AM19" s="26"/>
      <c r="AN19" s="21" t="s">
        <v>92</v>
      </c>
      <c r="AO19" s="21" t="s">
        <v>43</v>
      </c>
      <c r="AP19" s="21" t="s">
        <v>92</v>
      </c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41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42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</row>
    <row r="20">
      <c r="A20" s="22"/>
      <c r="B20" s="21" t="s">
        <v>93</v>
      </c>
      <c r="C20" s="21" t="s">
        <v>60</v>
      </c>
      <c r="D20" s="21"/>
      <c r="E20" s="21">
        <v>8.035463304E9</v>
      </c>
      <c r="F20" s="23" t="s">
        <v>93</v>
      </c>
      <c r="G20" s="24" t="s">
        <v>93</v>
      </c>
      <c r="H20" s="24" t="s">
        <v>43</v>
      </c>
      <c r="I20" s="24" t="s">
        <v>93</v>
      </c>
      <c r="J20" s="24" t="s">
        <v>93</v>
      </c>
      <c r="K20" s="24" t="s">
        <v>93</v>
      </c>
      <c r="L20" s="24" t="s">
        <v>93</v>
      </c>
      <c r="M20" s="24" t="s">
        <v>93</v>
      </c>
      <c r="N20" s="24" t="s">
        <v>93</v>
      </c>
      <c r="O20" s="24" t="s">
        <v>43</v>
      </c>
      <c r="P20" s="24" t="s">
        <v>93</v>
      </c>
      <c r="Q20" s="24" t="s">
        <v>43</v>
      </c>
      <c r="R20" s="25" t="s">
        <v>93</v>
      </c>
      <c r="S20" s="21" t="s">
        <v>93</v>
      </c>
      <c r="T20" s="21" t="s">
        <v>93</v>
      </c>
      <c r="U20" s="38" t="s">
        <v>94</v>
      </c>
      <c r="V20" s="21" t="s">
        <v>93</v>
      </c>
      <c r="W20" s="21" t="s">
        <v>93</v>
      </c>
      <c r="X20" s="21" t="s">
        <v>93</v>
      </c>
      <c r="Y20" s="21" t="s">
        <v>93</v>
      </c>
      <c r="Z20" s="21" t="s">
        <v>93</v>
      </c>
      <c r="AA20" s="21" t="s">
        <v>93</v>
      </c>
      <c r="AB20" s="21" t="s">
        <v>93</v>
      </c>
      <c r="AC20" s="21" t="s">
        <v>93</v>
      </c>
      <c r="AD20" s="21" t="s">
        <v>93</v>
      </c>
      <c r="AE20" s="21" t="s">
        <v>93</v>
      </c>
      <c r="AF20" s="21" t="s">
        <v>93</v>
      </c>
      <c r="AG20" s="21" t="s">
        <v>93</v>
      </c>
      <c r="AH20" s="21" t="s">
        <v>93</v>
      </c>
      <c r="AI20" s="21" t="s">
        <v>93</v>
      </c>
      <c r="AJ20" s="21" t="s">
        <v>93</v>
      </c>
      <c r="AK20" s="21" t="s">
        <v>93</v>
      </c>
      <c r="AL20" s="21" t="s">
        <v>93</v>
      </c>
      <c r="AM20" s="26"/>
      <c r="AN20" s="21" t="s">
        <v>93</v>
      </c>
      <c r="AO20" s="21" t="s">
        <v>93</v>
      </c>
      <c r="AP20" s="21" t="s">
        <v>93</v>
      </c>
      <c r="AQ20" s="21" t="s">
        <v>43</v>
      </c>
      <c r="AR20" s="21" t="s">
        <v>93</v>
      </c>
      <c r="AS20" s="21" t="s">
        <v>93</v>
      </c>
      <c r="AT20" s="21" t="s">
        <v>43</v>
      </c>
      <c r="AU20" s="21" t="s">
        <v>93</v>
      </c>
      <c r="AV20" s="21" t="s">
        <v>93</v>
      </c>
      <c r="AW20" s="21" t="s">
        <v>93</v>
      </c>
      <c r="AX20" s="21" t="s">
        <v>93</v>
      </c>
      <c r="AY20" s="21" t="s">
        <v>93</v>
      </c>
      <c r="AZ20" s="21" t="s">
        <v>93</v>
      </c>
      <c r="BA20" s="21" t="s">
        <v>93</v>
      </c>
      <c r="BB20" s="21" t="s">
        <v>43</v>
      </c>
      <c r="BC20" s="21" t="s">
        <v>93</v>
      </c>
      <c r="BD20" s="21" t="s">
        <v>93</v>
      </c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1" t="s">
        <v>93</v>
      </c>
      <c r="BP20" s="21" t="s">
        <v>93</v>
      </c>
      <c r="BQ20" s="21" t="s">
        <v>93</v>
      </c>
      <c r="BR20" s="21" t="s">
        <v>93</v>
      </c>
      <c r="BS20" s="21" t="s">
        <v>93</v>
      </c>
      <c r="BT20" s="21" t="s">
        <v>93</v>
      </c>
      <c r="BU20" s="21" t="s">
        <v>43</v>
      </c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1" t="s">
        <v>93</v>
      </c>
      <c r="CH20" s="21" t="s">
        <v>93</v>
      </c>
      <c r="CI20" s="21" t="s">
        <v>43</v>
      </c>
      <c r="CJ20" s="21" t="s">
        <v>43</v>
      </c>
      <c r="CK20" s="21" t="s">
        <v>93</v>
      </c>
      <c r="CL20" s="21" t="s">
        <v>93</v>
      </c>
      <c r="CM20" s="21" t="s">
        <v>93</v>
      </c>
      <c r="CN20" s="21" t="s">
        <v>93</v>
      </c>
      <c r="CO20" s="21" t="s">
        <v>93</v>
      </c>
      <c r="CP20" s="21" t="s">
        <v>93</v>
      </c>
      <c r="CQ20" s="47" t="s">
        <v>95</v>
      </c>
      <c r="CR20" s="21" t="s">
        <v>93</v>
      </c>
      <c r="CS20" s="48" t="s">
        <v>96</v>
      </c>
      <c r="CT20" s="21" t="s">
        <v>93</v>
      </c>
      <c r="CU20" s="21" t="s">
        <v>43</v>
      </c>
      <c r="CV20" s="21" t="s">
        <v>93</v>
      </c>
      <c r="CW20" s="26"/>
      <c r="CX20" s="21" t="s">
        <v>44</v>
      </c>
      <c r="CY20" s="21" t="s">
        <v>44</v>
      </c>
      <c r="CZ20" s="21" t="s">
        <v>44</v>
      </c>
      <c r="DA20" s="21" t="s">
        <v>43</v>
      </c>
      <c r="DB20" s="26"/>
      <c r="DC20" s="26"/>
      <c r="DD20" s="21" t="s">
        <v>93</v>
      </c>
      <c r="DE20" s="21" t="s">
        <v>43</v>
      </c>
      <c r="DF20" s="26"/>
      <c r="DG20" s="26"/>
      <c r="DH20" s="26"/>
      <c r="DI20" s="21" t="s">
        <v>77</v>
      </c>
      <c r="DJ20" s="26"/>
      <c r="DK20" s="26"/>
      <c r="DL20" s="26"/>
      <c r="DM20" s="21" t="s">
        <v>77</v>
      </c>
      <c r="DN20" s="26"/>
      <c r="DO20" s="26"/>
      <c r="DP20" s="21" t="s">
        <v>43</v>
      </c>
      <c r="DQ20" s="26"/>
      <c r="DR20" s="26"/>
      <c r="DS20" s="26"/>
      <c r="DT20" s="26"/>
      <c r="DU20" s="21"/>
      <c r="DV20" s="21"/>
      <c r="DW20" s="21" t="s">
        <v>73</v>
      </c>
      <c r="DX20" s="21" t="s">
        <v>93</v>
      </c>
      <c r="DY20" s="49" t="s">
        <v>77</v>
      </c>
      <c r="DZ20" s="26"/>
      <c r="EA20" s="26"/>
      <c r="EB20" s="26"/>
      <c r="EC20" s="26"/>
      <c r="ED20" s="26"/>
      <c r="EE20" s="26"/>
      <c r="EF20" s="50" t="s">
        <v>97</v>
      </c>
      <c r="EG20" s="21" t="s">
        <v>43</v>
      </c>
      <c r="EH20" s="26"/>
      <c r="EI20" s="21" t="s">
        <v>98</v>
      </c>
      <c r="EJ20" s="26"/>
      <c r="EK20" s="26"/>
      <c r="EL20" s="26"/>
      <c r="EM20" s="26"/>
      <c r="EN20" s="26"/>
      <c r="EO20" s="21" t="s">
        <v>77</v>
      </c>
      <c r="EP20" s="21" t="s">
        <v>93</v>
      </c>
      <c r="EQ20" s="21" t="s">
        <v>93</v>
      </c>
      <c r="ER20" s="21" t="s">
        <v>43</v>
      </c>
      <c r="ES20" s="21" t="s">
        <v>93</v>
      </c>
      <c r="ET20" s="21" t="s">
        <v>93</v>
      </c>
      <c r="EU20" s="21" t="s">
        <v>43</v>
      </c>
      <c r="EV20" s="21" t="s">
        <v>93</v>
      </c>
      <c r="EW20" s="21" t="s">
        <v>43</v>
      </c>
      <c r="EX20" s="21" t="s">
        <v>93</v>
      </c>
      <c r="EY20" s="26"/>
      <c r="EZ20" s="21" t="s">
        <v>93</v>
      </c>
      <c r="FA20" s="21" t="s">
        <v>43</v>
      </c>
      <c r="FB20" s="21" t="s">
        <v>43</v>
      </c>
      <c r="FC20" s="21" t="s">
        <v>93</v>
      </c>
      <c r="FD20" s="21" t="s">
        <v>43</v>
      </c>
      <c r="FE20" s="26"/>
      <c r="FF20" s="21" t="s">
        <v>43</v>
      </c>
      <c r="FG20" s="26"/>
      <c r="FH20" s="26"/>
      <c r="FI20" s="31" t="s">
        <v>77</v>
      </c>
      <c r="FJ20" s="21" t="s">
        <v>93</v>
      </c>
      <c r="FK20" s="21" t="s">
        <v>93</v>
      </c>
      <c r="FL20" s="21" t="s">
        <v>93</v>
      </c>
      <c r="FM20" s="21" t="s">
        <v>93</v>
      </c>
      <c r="FN20" s="21" t="s">
        <v>43</v>
      </c>
      <c r="FO20" s="21" t="s">
        <v>93</v>
      </c>
      <c r="FP20" s="21" t="s">
        <v>93</v>
      </c>
      <c r="FQ20" s="21" t="s">
        <v>93</v>
      </c>
      <c r="FR20" s="21" t="s">
        <v>77</v>
      </c>
      <c r="FS20" s="21" t="s">
        <v>93</v>
      </c>
      <c r="FT20" s="21" t="s">
        <v>93</v>
      </c>
      <c r="FU20" s="21" t="s">
        <v>93</v>
      </c>
      <c r="FV20" s="21" t="s">
        <v>93</v>
      </c>
      <c r="FW20" s="21" t="s">
        <v>93</v>
      </c>
      <c r="FX20" s="21" t="s">
        <v>93</v>
      </c>
      <c r="FY20" s="21" t="s">
        <v>93</v>
      </c>
      <c r="FZ20" s="21" t="s">
        <v>93</v>
      </c>
      <c r="GA20" s="21" t="s">
        <v>93</v>
      </c>
      <c r="GB20" s="21" t="s">
        <v>93</v>
      </c>
      <c r="GC20" s="21" t="s">
        <v>77</v>
      </c>
      <c r="GD20" s="21" t="s">
        <v>77</v>
      </c>
      <c r="GE20" s="21" t="s">
        <v>93</v>
      </c>
      <c r="GF20" s="21" t="s">
        <v>93</v>
      </c>
      <c r="GG20" s="21" t="s">
        <v>43</v>
      </c>
      <c r="GH20" s="21" t="s">
        <v>93</v>
      </c>
      <c r="GI20" s="21" t="s">
        <v>93</v>
      </c>
      <c r="GJ20" s="21" t="s">
        <v>43</v>
      </c>
      <c r="GK20" s="21"/>
      <c r="GL20" s="21" t="s">
        <v>93</v>
      </c>
      <c r="GM20" s="21" t="s">
        <v>93</v>
      </c>
      <c r="GN20" s="21" t="s">
        <v>93</v>
      </c>
      <c r="GO20" s="21" t="s">
        <v>93</v>
      </c>
      <c r="GP20" s="21" t="s">
        <v>98</v>
      </c>
      <c r="GQ20" s="21" t="s">
        <v>77</v>
      </c>
      <c r="GR20" s="21" t="s">
        <v>93</v>
      </c>
      <c r="GS20" s="21" t="s">
        <v>93</v>
      </c>
      <c r="GT20" s="21" t="s">
        <v>93</v>
      </c>
      <c r="GU20" s="21" t="s">
        <v>93</v>
      </c>
      <c r="GV20" s="28" t="s">
        <v>93</v>
      </c>
      <c r="GW20" s="21" t="s">
        <v>93</v>
      </c>
      <c r="GX20" s="21" t="s">
        <v>93</v>
      </c>
      <c r="GY20" s="21" t="s">
        <v>43</v>
      </c>
      <c r="GZ20" s="21" t="s">
        <v>43</v>
      </c>
      <c r="HA20" s="21" t="s">
        <v>93</v>
      </c>
      <c r="HB20" s="21" t="s">
        <v>93</v>
      </c>
      <c r="HC20" s="21" t="s">
        <v>93</v>
      </c>
      <c r="HD20" s="21" t="s">
        <v>93</v>
      </c>
      <c r="HE20" s="21" t="s">
        <v>93</v>
      </c>
      <c r="HF20" s="21" t="s">
        <v>93</v>
      </c>
      <c r="HG20" s="21" t="s">
        <v>93</v>
      </c>
      <c r="HH20" s="21" t="s">
        <v>93</v>
      </c>
      <c r="HI20" s="21" t="s">
        <v>93</v>
      </c>
      <c r="HJ20" s="21" t="s">
        <v>93</v>
      </c>
      <c r="HK20" s="21" t="s">
        <v>93</v>
      </c>
      <c r="HL20" s="21" t="s">
        <v>93</v>
      </c>
      <c r="HM20" s="21" t="s">
        <v>93</v>
      </c>
      <c r="HN20" s="21"/>
      <c r="HO20" s="21"/>
      <c r="HP20" s="21"/>
      <c r="HQ20" s="21"/>
      <c r="HR20" s="21"/>
      <c r="HS20" s="21"/>
      <c r="HT20" s="21"/>
    </row>
    <row r="21">
      <c r="A21" s="22"/>
      <c r="B21" s="21" t="s">
        <v>53</v>
      </c>
      <c r="C21" s="21" t="s">
        <v>99</v>
      </c>
      <c r="D21" s="21"/>
      <c r="E21" s="21"/>
      <c r="F21" s="23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5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32" t="s">
        <v>58</v>
      </c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5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 t="s">
        <v>58</v>
      </c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3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3"/>
    </row>
    <row r="22">
      <c r="A22" s="22"/>
      <c r="B22" s="21" t="s">
        <v>100</v>
      </c>
      <c r="C22" s="21" t="s">
        <v>101</v>
      </c>
      <c r="D22" s="21"/>
      <c r="E22" s="21">
        <v>4.235805933E9</v>
      </c>
      <c r="F22" s="23" t="s">
        <v>102</v>
      </c>
      <c r="G22" s="24" t="s">
        <v>102</v>
      </c>
      <c r="H22" s="24" t="s">
        <v>102</v>
      </c>
      <c r="I22" s="24" t="s">
        <v>102</v>
      </c>
      <c r="J22" s="24" t="s">
        <v>43</v>
      </c>
      <c r="K22" s="24" t="s">
        <v>43</v>
      </c>
      <c r="L22" s="24" t="s">
        <v>102</v>
      </c>
      <c r="M22" s="24" t="s">
        <v>102</v>
      </c>
      <c r="N22" s="24" t="s">
        <v>102</v>
      </c>
      <c r="O22" s="24" t="s">
        <v>102</v>
      </c>
      <c r="P22" s="24" t="s">
        <v>102</v>
      </c>
      <c r="Q22" s="24" t="s">
        <v>102</v>
      </c>
      <c r="R22" s="25" t="s">
        <v>102</v>
      </c>
      <c r="S22" s="25" t="s">
        <v>102</v>
      </c>
      <c r="T22" s="25" t="s">
        <v>102</v>
      </c>
      <c r="U22" s="25" t="s">
        <v>102</v>
      </c>
      <c r="V22" s="25" t="s">
        <v>102</v>
      </c>
      <c r="W22" s="25" t="s">
        <v>102</v>
      </c>
      <c r="X22" s="25" t="s">
        <v>102</v>
      </c>
      <c r="Y22" s="25" t="s">
        <v>102</v>
      </c>
      <c r="Z22" s="25" t="s">
        <v>43</v>
      </c>
      <c r="AA22" s="25" t="s">
        <v>102</v>
      </c>
      <c r="AB22" s="25" t="s">
        <v>102</v>
      </c>
      <c r="AC22" s="25" t="s">
        <v>43</v>
      </c>
      <c r="AD22" s="25" t="s">
        <v>102</v>
      </c>
      <c r="AE22" s="27" t="s">
        <v>44</v>
      </c>
      <c r="AF22" s="27" t="s">
        <v>43</v>
      </c>
      <c r="AG22" s="27" t="s">
        <v>102</v>
      </c>
      <c r="AH22" s="27" t="s">
        <v>102</v>
      </c>
      <c r="AI22" s="27" t="s">
        <v>43</v>
      </c>
      <c r="AJ22" s="27" t="s">
        <v>102</v>
      </c>
      <c r="AK22" s="27" t="s">
        <v>102</v>
      </c>
      <c r="AL22" s="27" t="s">
        <v>102</v>
      </c>
      <c r="AM22" s="27" t="s">
        <v>102</v>
      </c>
      <c r="AN22" s="27" t="s">
        <v>102</v>
      </c>
      <c r="AO22" s="27" t="s">
        <v>102</v>
      </c>
      <c r="AP22" s="27" t="s">
        <v>102</v>
      </c>
      <c r="AQ22" s="27" t="s">
        <v>102</v>
      </c>
      <c r="AR22" s="27" t="s">
        <v>102</v>
      </c>
      <c r="AS22" s="27" t="s">
        <v>103</v>
      </c>
      <c r="AT22" s="27" t="s">
        <v>102</v>
      </c>
      <c r="AU22" s="27" t="s">
        <v>102</v>
      </c>
      <c r="AV22" s="27" t="s">
        <v>102</v>
      </c>
      <c r="AW22" s="27" t="s">
        <v>102</v>
      </c>
      <c r="AX22" s="27" t="s">
        <v>43</v>
      </c>
      <c r="AY22" s="27" t="s">
        <v>43</v>
      </c>
      <c r="AZ22" s="27" t="s">
        <v>102</v>
      </c>
      <c r="BA22" s="27" t="s">
        <v>102</v>
      </c>
      <c r="BB22" s="27" t="s">
        <v>102</v>
      </c>
      <c r="BC22" s="27" t="s">
        <v>102</v>
      </c>
      <c r="BD22" s="27" t="s">
        <v>102</v>
      </c>
      <c r="BE22" s="27" t="s">
        <v>43</v>
      </c>
      <c r="BF22" s="27" t="s">
        <v>102</v>
      </c>
      <c r="BG22" s="27" t="s">
        <v>102</v>
      </c>
      <c r="BH22" s="27" t="s">
        <v>102</v>
      </c>
      <c r="BI22" s="27" t="s">
        <v>43</v>
      </c>
      <c r="BJ22" s="27" t="s">
        <v>43</v>
      </c>
      <c r="BK22" s="27" t="s">
        <v>102</v>
      </c>
      <c r="BL22" s="27" t="s">
        <v>102</v>
      </c>
      <c r="BM22" s="27" t="s">
        <v>43</v>
      </c>
      <c r="BN22" s="27" t="s">
        <v>102</v>
      </c>
      <c r="BO22" s="27" t="s">
        <v>43</v>
      </c>
      <c r="BP22" s="27" t="s">
        <v>104</v>
      </c>
      <c r="BQ22" s="27" t="s">
        <v>102</v>
      </c>
      <c r="BR22" s="27" t="s">
        <v>102</v>
      </c>
      <c r="BS22" s="27" t="s">
        <v>102</v>
      </c>
      <c r="BT22" s="27" t="s">
        <v>102</v>
      </c>
      <c r="BU22" s="27" t="s">
        <v>102</v>
      </c>
      <c r="BV22" s="27" t="s">
        <v>43</v>
      </c>
      <c r="BW22" s="27" t="s">
        <v>102</v>
      </c>
      <c r="BX22" s="27" t="s">
        <v>102</v>
      </c>
      <c r="BY22" s="27" t="s">
        <v>102</v>
      </c>
      <c r="BZ22" s="27" t="s">
        <v>102</v>
      </c>
      <c r="CA22" s="27" t="s">
        <v>102</v>
      </c>
      <c r="CB22" s="27" t="s">
        <v>102</v>
      </c>
      <c r="CC22" s="27" t="s">
        <v>43</v>
      </c>
      <c r="CD22" s="27" t="s">
        <v>102</v>
      </c>
      <c r="CE22" s="27" t="s">
        <v>102</v>
      </c>
      <c r="CF22" s="27" t="s">
        <v>102</v>
      </c>
      <c r="CG22" s="27" t="s">
        <v>102</v>
      </c>
      <c r="CH22" s="27" t="s">
        <v>102</v>
      </c>
      <c r="CI22" s="27" t="s">
        <v>102</v>
      </c>
      <c r="CJ22" s="27" t="s">
        <v>43</v>
      </c>
      <c r="CK22" s="27" t="s">
        <v>102</v>
      </c>
      <c r="CL22" s="27" t="s">
        <v>102</v>
      </c>
      <c r="CM22" s="27" t="s">
        <v>102</v>
      </c>
      <c r="CN22" s="27" t="s">
        <v>102</v>
      </c>
      <c r="CO22" s="27" t="s">
        <v>102</v>
      </c>
      <c r="CP22" s="27" t="s">
        <v>102</v>
      </c>
      <c r="CQ22" s="27" t="s">
        <v>102</v>
      </c>
      <c r="CR22" s="27" t="s">
        <v>102</v>
      </c>
      <c r="CS22" s="27" t="s">
        <v>102</v>
      </c>
      <c r="CT22" s="27" t="s">
        <v>43</v>
      </c>
      <c r="CU22" s="27" t="s">
        <v>102</v>
      </c>
      <c r="CV22" s="27" t="s">
        <v>58</v>
      </c>
      <c r="CW22" s="27" t="s">
        <v>43</v>
      </c>
      <c r="CX22" s="27" t="s">
        <v>102</v>
      </c>
      <c r="CY22" s="27" t="s">
        <v>43</v>
      </c>
      <c r="CZ22" s="27" t="s">
        <v>43</v>
      </c>
      <c r="DA22" s="27" t="s">
        <v>102</v>
      </c>
      <c r="DB22" s="27" t="s">
        <v>102</v>
      </c>
      <c r="DC22" s="27" t="s">
        <v>102</v>
      </c>
      <c r="DD22" s="27" t="s">
        <v>102</v>
      </c>
      <c r="DE22" s="27" t="s">
        <v>102</v>
      </c>
      <c r="DF22" s="27" t="s">
        <v>102</v>
      </c>
      <c r="DG22" s="27" t="s">
        <v>102</v>
      </c>
      <c r="DH22" s="27" t="s">
        <v>43</v>
      </c>
      <c r="DI22" s="27" t="s">
        <v>102</v>
      </c>
      <c r="DJ22" s="27" t="s">
        <v>102</v>
      </c>
      <c r="DK22" s="27" t="s">
        <v>43</v>
      </c>
      <c r="DL22" s="27" t="s">
        <v>102</v>
      </c>
      <c r="DM22" s="27" t="s">
        <v>102</v>
      </c>
      <c r="DN22" s="27" t="s">
        <v>102</v>
      </c>
      <c r="DO22" s="27" t="s">
        <v>102</v>
      </c>
      <c r="DP22" s="27" t="s">
        <v>43</v>
      </c>
      <c r="DQ22" s="27" t="s">
        <v>43</v>
      </c>
      <c r="DR22" s="27" t="s">
        <v>102</v>
      </c>
      <c r="DS22" s="27" t="s">
        <v>102</v>
      </c>
      <c r="DT22" s="27" t="s">
        <v>102</v>
      </c>
      <c r="DU22" s="27" t="s">
        <v>43</v>
      </c>
      <c r="DV22" s="27" t="s">
        <v>102</v>
      </c>
      <c r="DW22" s="27" t="s">
        <v>102</v>
      </c>
      <c r="DX22" s="27" t="s">
        <v>102</v>
      </c>
      <c r="DY22" s="27" t="s">
        <v>102</v>
      </c>
      <c r="DZ22" s="27" t="s">
        <v>102</v>
      </c>
      <c r="EA22" s="27" t="s">
        <v>43</v>
      </c>
      <c r="EB22" s="27" t="s">
        <v>102</v>
      </c>
      <c r="EC22" s="27" t="s">
        <v>102</v>
      </c>
      <c r="ED22" s="27"/>
      <c r="EE22" s="27"/>
      <c r="EF22" s="27"/>
      <c r="EG22" s="27"/>
      <c r="EH22" s="27"/>
      <c r="EI22" s="27" t="s">
        <v>102</v>
      </c>
      <c r="EJ22" s="27" t="s">
        <v>102</v>
      </c>
      <c r="EK22" s="27" t="s">
        <v>102</v>
      </c>
      <c r="EL22" s="27" t="s">
        <v>102</v>
      </c>
      <c r="EM22" s="27" t="s">
        <v>102</v>
      </c>
      <c r="EN22" s="27" t="s">
        <v>102</v>
      </c>
      <c r="EO22" s="27" t="s">
        <v>102</v>
      </c>
      <c r="EP22" s="27" t="s">
        <v>102</v>
      </c>
      <c r="EQ22" s="27" t="s">
        <v>102</v>
      </c>
      <c r="ER22" s="27" t="s">
        <v>102</v>
      </c>
      <c r="ES22" s="27" t="s">
        <v>102</v>
      </c>
      <c r="ET22" s="27" t="s">
        <v>43</v>
      </c>
      <c r="EU22" s="27" t="s">
        <v>43</v>
      </c>
      <c r="EV22" s="27" t="s">
        <v>43</v>
      </c>
      <c r="EW22" s="27" t="s">
        <v>58</v>
      </c>
      <c r="EX22" s="27" t="s">
        <v>58</v>
      </c>
      <c r="EY22" s="27" t="s">
        <v>102</v>
      </c>
      <c r="EZ22" s="27" t="s">
        <v>105</v>
      </c>
      <c r="FA22" s="27" t="s">
        <v>43</v>
      </c>
      <c r="FB22" s="27" t="s">
        <v>102</v>
      </c>
      <c r="FC22" s="27" t="s">
        <v>102</v>
      </c>
      <c r="FD22" s="27" t="s">
        <v>102</v>
      </c>
      <c r="FE22" s="27" t="s">
        <v>102</v>
      </c>
      <c r="FF22" s="27" t="s">
        <v>102</v>
      </c>
      <c r="FG22" s="27" t="s">
        <v>102</v>
      </c>
      <c r="FH22" s="27" t="s">
        <v>102</v>
      </c>
      <c r="FI22" s="25" t="s">
        <v>102</v>
      </c>
      <c r="FJ22" s="27" t="s">
        <v>43</v>
      </c>
      <c r="FK22" s="27" t="s">
        <v>102</v>
      </c>
      <c r="FL22" s="27" t="s">
        <v>58</v>
      </c>
      <c r="FM22" s="27" t="s">
        <v>43</v>
      </c>
      <c r="FN22" s="27" t="s">
        <v>102</v>
      </c>
      <c r="FO22" s="27" t="s">
        <v>102</v>
      </c>
      <c r="FP22" s="27" t="s">
        <v>43</v>
      </c>
      <c r="FQ22" s="27" t="s">
        <v>43</v>
      </c>
      <c r="FR22" s="27" t="s">
        <v>43</v>
      </c>
      <c r="FS22" s="27" t="s">
        <v>102</v>
      </c>
      <c r="FT22" s="27" t="s">
        <v>102</v>
      </c>
      <c r="FU22" s="27"/>
      <c r="FV22" s="27" t="s">
        <v>43</v>
      </c>
      <c r="FW22" s="27" t="s">
        <v>102</v>
      </c>
      <c r="FX22" s="27" t="s">
        <v>102</v>
      </c>
      <c r="FY22" s="27" t="s">
        <v>43</v>
      </c>
      <c r="FZ22" s="27" t="s">
        <v>102</v>
      </c>
      <c r="GA22" s="27" t="s">
        <v>102</v>
      </c>
      <c r="GB22" s="27" t="s">
        <v>102</v>
      </c>
      <c r="GC22" s="27" t="s">
        <v>102</v>
      </c>
      <c r="GD22" s="27" t="s">
        <v>102</v>
      </c>
      <c r="GE22" s="27" t="s">
        <v>102</v>
      </c>
      <c r="GF22" s="27" t="s">
        <v>43</v>
      </c>
      <c r="GG22" s="27" t="s">
        <v>43</v>
      </c>
      <c r="GH22" s="27" t="s">
        <v>102</v>
      </c>
      <c r="GI22" s="27" t="s">
        <v>102</v>
      </c>
      <c r="GJ22" s="27" t="s">
        <v>106</v>
      </c>
      <c r="GK22" s="27" t="s">
        <v>102</v>
      </c>
      <c r="GL22" s="27" t="s">
        <v>102</v>
      </c>
      <c r="GM22" s="27" t="s">
        <v>102</v>
      </c>
      <c r="GN22" s="27" t="s">
        <v>102</v>
      </c>
      <c r="GO22" s="27" t="s">
        <v>102</v>
      </c>
      <c r="GP22" s="27" t="s">
        <v>102</v>
      </c>
      <c r="GQ22" s="27" t="s">
        <v>102</v>
      </c>
      <c r="GR22" s="27" t="s">
        <v>43</v>
      </c>
      <c r="GS22" s="27" t="s">
        <v>102</v>
      </c>
      <c r="GT22" s="27" t="s">
        <v>102</v>
      </c>
      <c r="GU22" s="27" t="s">
        <v>102</v>
      </c>
      <c r="GV22" s="23" t="s">
        <v>43</v>
      </c>
      <c r="GW22" s="27" t="s">
        <v>43</v>
      </c>
      <c r="GX22" s="27" t="s">
        <v>43</v>
      </c>
      <c r="GY22" s="27" t="s">
        <v>102</v>
      </c>
      <c r="GZ22" s="27" t="s">
        <v>102</v>
      </c>
      <c r="HA22" s="27" t="s">
        <v>102</v>
      </c>
      <c r="HB22" s="27" t="s">
        <v>102</v>
      </c>
      <c r="HC22" s="27" t="s">
        <v>102</v>
      </c>
      <c r="HD22" s="27" t="s">
        <v>102</v>
      </c>
      <c r="HE22" s="27" t="s">
        <v>102</v>
      </c>
      <c r="HF22" s="27" t="s">
        <v>43</v>
      </c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3"/>
    </row>
    <row r="23">
      <c r="A23" s="45"/>
      <c r="B23" s="21" t="s">
        <v>107</v>
      </c>
      <c r="C23" s="21" t="s">
        <v>108</v>
      </c>
      <c r="D23" s="21"/>
      <c r="E23" s="21">
        <v>4.235980525E9</v>
      </c>
      <c r="F23" s="23"/>
      <c r="G23" s="24"/>
      <c r="H23" s="29"/>
      <c r="I23" s="24"/>
      <c r="J23" s="24"/>
      <c r="K23" s="24"/>
      <c r="L23" s="24"/>
      <c r="M23" s="24"/>
      <c r="N23" s="24"/>
      <c r="O23" s="24"/>
      <c r="P23" s="29"/>
      <c r="Q23" s="29"/>
      <c r="R23" s="35"/>
      <c r="S23" s="26"/>
      <c r="T23" s="26"/>
      <c r="U23" s="26"/>
      <c r="V23" s="26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6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6"/>
      <c r="BD23" s="21"/>
      <c r="BE23" s="26"/>
      <c r="BF23" s="26"/>
      <c r="BG23" s="26"/>
      <c r="BH23" s="21"/>
      <c r="BI23" s="26"/>
      <c r="BJ23" s="26"/>
      <c r="BK23" s="21"/>
      <c r="BL23" s="26"/>
      <c r="BM23" s="26"/>
      <c r="BN23" s="26"/>
      <c r="BO23" s="21"/>
      <c r="BP23" s="21"/>
      <c r="BQ23" s="21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1"/>
      <c r="CH23" s="21"/>
      <c r="CI23" s="21"/>
      <c r="CJ23" s="21"/>
      <c r="CK23" s="21"/>
      <c r="CL23" s="21"/>
      <c r="CM23" s="21"/>
      <c r="CN23" s="21"/>
      <c r="CO23" s="21"/>
      <c r="CP23" s="26"/>
      <c r="CQ23" s="26"/>
      <c r="CR23" s="21"/>
      <c r="CS23" s="26"/>
      <c r="CT23" s="21"/>
      <c r="CU23" s="26"/>
      <c r="CV23" s="21"/>
      <c r="CW23" s="26"/>
      <c r="CX23" s="26"/>
      <c r="CY23" s="26"/>
      <c r="CZ23" s="26"/>
      <c r="DA23" s="26"/>
      <c r="DB23" s="26"/>
      <c r="DC23" s="26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6"/>
      <c r="DR23" s="26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3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 t="s">
        <v>62</v>
      </c>
      <c r="FY23" s="21"/>
      <c r="FZ23" s="21" t="s">
        <v>62</v>
      </c>
      <c r="GA23" s="21" t="s">
        <v>62</v>
      </c>
      <c r="GB23" s="21" t="s">
        <v>44</v>
      </c>
      <c r="GC23" s="21" t="s">
        <v>62</v>
      </c>
      <c r="GD23" s="21" t="s">
        <v>62</v>
      </c>
      <c r="GE23" s="21" t="s">
        <v>62</v>
      </c>
      <c r="GF23" s="21" t="s">
        <v>62</v>
      </c>
      <c r="GG23" s="21" t="s">
        <v>62</v>
      </c>
      <c r="GH23" s="21" t="s">
        <v>62</v>
      </c>
      <c r="GI23" s="21" t="s">
        <v>62</v>
      </c>
      <c r="GJ23" s="21"/>
      <c r="GK23" s="21" t="s">
        <v>109</v>
      </c>
      <c r="GL23" s="21" t="s">
        <v>62</v>
      </c>
      <c r="GM23" s="21" t="s">
        <v>62</v>
      </c>
      <c r="GN23" s="21" t="s">
        <v>62</v>
      </c>
      <c r="GO23" s="21" t="s">
        <v>62</v>
      </c>
      <c r="GP23" s="21" t="s">
        <v>62</v>
      </c>
      <c r="GQ23" s="21" t="s">
        <v>62</v>
      </c>
      <c r="GR23" s="21" t="s">
        <v>44</v>
      </c>
      <c r="GS23" s="21" t="s">
        <v>44</v>
      </c>
      <c r="GT23" s="21" t="s">
        <v>44</v>
      </c>
      <c r="GU23" s="21" t="s">
        <v>44</v>
      </c>
      <c r="GV23" s="28"/>
      <c r="GW23" s="21" t="s">
        <v>62</v>
      </c>
      <c r="GX23" s="21"/>
      <c r="GY23" s="21" t="s">
        <v>110</v>
      </c>
      <c r="GZ23" s="21" t="s">
        <v>44</v>
      </c>
      <c r="HA23" s="21"/>
      <c r="HB23" s="21"/>
      <c r="HC23" s="21" t="s">
        <v>110</v>
      </c>
      <c r="HD23" s="21" t="s">
        <v>44</v>
      </c>
      <c r="HE23" s="21"/>
      <c r="HF23" s="21"/>
      <c r="HG23" s="21"/>
      <c r="HH23" s="21"/>
      <c r="HI23" s="21" t="s">
        <v>44</v>
      </c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8"/>
    </row>
    <row r="24">
      <c r="A24" s="45"/>
      <c r="B24" s="21" t="s">
        <v>62</v>
      </c>
      <c r="C24" s="21" t="s">
        <v>111</v>
      </c>
      <c r="D24" s="21"/>
      <c r="E24" s="21">
        <v>7.065496109E9</v>
      </c>
      <c r="F24" s="23"/>
      <c r="G24" s="24"/>
      <c r="H24" s="29"/>
      <c r="I24" s="24"/>
      <c r="J24" s="24"/>
      <c r="K24" s="24"/>
      <c r="L24" s="24"/>
      <c r="M24" s="24"/>
      <c r="N24" s="24"/>
      <c r="O24" s="24"/>
      <c r="P24" s="29"/>
      <c r="Q24" s="29"/>
      <c r="R24" s="35"/>
      <c r="S24" s="26"/>
      <c r="T24" s="26"/>
      <c r="U24" s="26"/>
      <c r="V24" s="26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6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6"/>
      <c r="BD24" s="21"/>
      <c r="BE24" s="26"/>
      <c r="BF24" s="26"/>
      <c r="BG24" s="26"/>
      <c r="BH24" s="21"/>
      <c r="BI24" s="26"/>
      <c r="BJ24" s="26"/>
      <c r="BK24" s="21"/>
      <c r="BL24" s="26"/>
      <c r="BM24" s="26"/>
      <c r="BN24" s="26"/>
      <c r="BO24" s="21"/>
      <c r="BP24" s="21"/>
      <c r="BQ24" s="21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1"/>
      <c r="CH24" s="21"/>
      <c r="CI24" s="21"/>
      <c r="CJ24" s="21"/>
      <c r="CK24" s="21"/>
      <c r="CL24" s="21"/>
      <c r="CM24" s="21"/>
      <c r="CN24" s="21"/>
      <c r="CO24" s="21"/>
      <c r="CP24" s="26"/>
      <c r="CQ24" s="26"/>
      <c r="CR24" s="21"/>
      <c r="CS24" s="26"/>
      <c r="CT24" s="21"/>
      <c r="CU24" s="26"/>
      <c r="CV24" s="21"/>
      <c r="CW24" s="26"/>
      <c r="CX24" s="26"/>
      <c r="CY24" s="26"/>
      <c r="CZ24" s="26"/>
      <c r="DA24" s="26"/>
      <c r="DB24" s="26"/>
      <c r="DC24" s="26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6"/>
      <c r="DR24" s="26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3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 t="s">
        <v>62</v>
      </c>
      <c r="GA24" s="21"/>
      <c r="GB24" s="21" t="s">
        <v>62</v>
      </c>
      <c r="GC24" s="21"/>
      <c r="GD24" s="21" t="s">
        <v>62</v>
      </c>
      <c r="GE24" s="21"/>
      <c r="GF24" s="21" t="s">
        <v>43</v>
      </c>
      <c r="GG24" s="21"/>
      <c r="GH24" s="21" t="s">
        <v>62</v>
      </c>
      <c r="GI24" s="21"/>
      <c r="GJ24" s="21" t="s">
        <v>62</v>
      </c>
      <c r="GK24" s="21"/>
      <c r="GL24" s="21" t="s">
        <v>62</v>
      </c>
      <c r="GM24" s="21"/>
      <c r="GN24" s="21" t="s">
        <v>62</v>
      </c>
      <c r="GO24" s="21"/>
      <c r="GP24" s="21" t="s">
        <v>62</v>
      </c>
      <c r="GQ24" s="21"/>
      <c r="GR24" s="21" t="s">
        <v>62</v>
      </c>
      <c r="GS24" s="21"/>
      <c r="GT24" s="21" t="s">
        <v>62</v>
      </c>
      <c r="GU24" s="21"/>
      <c r="GV24" s="28" t="s">
        <v>43</v>
      </c>
      <c r="GW24" s="21" t="s">
        <v>43</v>
      </c>
      <c r="GX24" s="21" t="s">
        <v>43</v>
      </c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8"/>
    </row>
    <row r="25">
      <c r="A25" s="45"/>
      <c r="B25" s="21" t="s">
        <v>107</v>
      </c>
      <c r="C25" s="21" t="s">
        <v>112</v>
      </c>
      <c r="D25" s="21"/>
      <c r="E25" s="21">
        <v>4.232809993E9</v>
      </c>
      <c r="F25" s="23"/>
      <c r="G25" s="24"/>
      <c r="H25" s="29"/>
      <c r="I25" s="24"/>
      <c r="J25" s="24"/>
      <c r="K25" s="24"/>
      <c r="L25" s="24"/>
      <c r="M25" s="24"/>
      <c r="N25" s="24"/>
      <c r="O25" s="24"/>
      <c r="P25" s="29"/>
      <c r="Q25" s="29"/>
      <c r="R25" s="35"/>
      <c r="S25" s="26"/>
      <c r="T25" s="26"/>
      <c r="U25" s="26"/>
      <c r="V25" s="26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6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6"/>
      <c r="BD25" s="21"/>
      <c r="BE25" s="26"/>
      <c r="BF25" s="26"/>
      <c r="BG25" s="26"/>
      <c r="BH25" s="21"/>
      <c r="BI25" s="26"/>
      <c r="BJ25" s="26"/>
      <c r="BK25" s="21"/>
      <c r="BL25" s="26"/>
      <c r="BM25" s="26"/>
      <c r="BN25" s="26"/>
      <c r="BO25" s="21"/>
      <c r="BP25" s="21"/>
      <c r="BQ25" s="21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1"/>
      <c r="CH25" s="21"/>
      <c r="CI25" s="21"/>
      <c r="CJ25" s="21"/>
      <c r="CK25" s="21"/>
      <c r="CL25" s="21"/>
      <c r="CM25" s="21"/>
      <c r="CN25" s="21"/>
      <c r="CO25" s="21"/>
      <c r="CP25" s="26"/>
      <c r="CQ25" s="26"/>
      <c r="CR25" s="21"/>
      <c r="CS25" s="26"/>
      <c r="CT25" s="21"/>
      <c r="CU25" s="26"/>
      <c r="CV25" s="21"/>
      <c r="CW25" s="26"/>
      <c r="CX25" s="26"/>
      <c r="CY25" s="26"/>
      <c r="CZ25" s="26"/>
      <c r="DA25" s="26"/>
      <c r="DB25" s="26"/>
      <c r="DC25" s="26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6"/>
      <c r="DR25" s="26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31"/>
      <c r="FJ25" s="21"/>
      <c r="FK25" s="21"/>
      <c r="FL25" s="21"/>
      <c r="FM25" s="21"/>
      <c r="FN25" s="21"/>
      <c r="FO25" s="21"/>
      <c r="FP25" s="21" t="s">
        <v>62</v>
      </c>
      <c r="FQ25" s="21"/>
      <c r="FR25" s="21" t="s">
        <v>62</v>
      </c>
      <c r="FS25" s="21"/>
      <c r="FT25" s="21"/>
      <c r="FU25" s="21"/>
      <c r="FV25" s="21" t="s">
        <v>62</v>
      </c>
      <c r="FW25" s="21"/>
      <c r="FX25" s="21" t="s">
        <v>62</v>
      </c>
      <c r="FY25" s="21"/>
      <c r="FZ25" s="21"/>
      <c r="GA25" s="21" t="s">
        <v>62</v>
      </c>
      <c r="GB25" s="21"/>
      <c r="GC25" s="21" t="s">
        <v>62</v>
      </c>
      <c r="GD25" s="21"/>
      <c r="GE25" s="21" t="s">
        <v>62</v>
      </c>
      <c r="GF25" s="21"/>
      <c r="GG25" s="21" t="s">
        <v>110</v>
      </c>
      <c r="GH25" s="21"/>
      <c r="GI25" s="21" t="s">
        <v>62</v>
      </c>
      <c r="GJ25" s="21"/>
      <c r="GK25" s="21"/>
      <c r="GL25" s="21" t="s">
        <v>110</v>
      </c>
      <c r="GM25" s="21" t="s">
        <v>62</v>
      </c>
      <c r="GN25" s="21" t="s">
        <v>110</v>
      </c>
      <c r="GO25" s="21" t="s">
        <v>62</v>
      </c>
      <c r="GP25" s="21"/>
      <c r="GQ25" s="21" t="s">
        <v>62</v>
      </c>
      <c r="GR25" s="21"/>
      <c r="GS25" s="21" t="s">
        <v>62</v>
      </c>
      <c r="GT25" s="21"/>
      <c r="GU25" s="21" t="s">
        <v>62</v>
      </c>
      <c r="GV25" s="28" t="s">
        <v>110</v>
      </c>
      <c r="GW25" s="21" t="s">
        <v>62</v>
      </c>
      <c r="GX25" s="21"/>
      <c r="GY25" s="21"/>
      <c r="GZ25" s="21"/>
      <c r="HA25" s="21" t="s">
        <v>110</v>
      </c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8"/>
    </row>
    <row r="26">
      <c r="A26" s="45"/>
      <c r="B26" s="21" t="s">
        <v>62</v>
      </c>
      <c r="C26" s="21" t="s">
        <v>113</v>
      </c>
      <c r="D26" s="21"/>
      <c r="E26" s="21">
        <v>9.125123546E9</v>
      </c>
      <c r="F26" s="23"/>
      <c r="G26" s="24"/>
      <c r="H26" s="29"/>
      <c r="I26" s="24"/>
      <c r="J26" s="24"/>
      <c r="K26" s="24"/>
      <c r="L26" s="24"/>
      <c r="M26" s="24"/>
      <c r="N26" s="24"/>
      <c r="O26" s="24"/>
      <c r="P26" s="29"/>
      <c r="Q26" s="29"/>
      <c r="R26" s="35"/>
      <c r="S26" s="26"/>
      <c r="T26" s="26"/>
      <c r="U26" s="26"/>
      <c r="V26" s="26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6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6"/>
      <c r="BD26" s="21"/>
      <c r="BE26" s="26"/>
      <c r="BF26" s="26"/>
      <c r="BG26" s="26"/>
      <c r="BH26" s="21"/>
      <c r="BI26" s="26"/>
      <c r="BJ26" s="26"/>
      <c r="BK26" s="21"/>
      <c r="BL26" s="26"/>
      <c r="BM26" s="26"/>
      <c r="BN26" s="26"/>
      <c r="BO26" s="21"/>
      <c r="BP26" s="21"/>
      <c r="BQ26" s="21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1"/>
      <c r="CH26" s="21"/>
      <c r="CI26" s="21"/>
      <c r="CJ26" s="21"/>
      <c r="CK26" s="21"/>
      <c r="CL26" s="21"/>
      <c r="CM26" s="21"/>
      <c r="CN26" s="21"/>
      <c r="CO26" s="21"/>
      <c r="CP26" s="26"/>
      <c r="CQ26" s="26"/>
      <c r="CR26" s="21"/>
      <c r="CS26" s="26"/>
      <c r="CT26" s="21"/>
      <c r="CU26" s="26"/>
      <c r="CV26" s="21"/>
      <c r="CW26" s="26"/>
      <c r="CX26" s="26"/>
      <c r="CY26" s="26"/>
      <c r="CZ26" s="26"/>
      <c r="DA26" s="26"/>
      <c r="DB26" s="26"/>
      <c r="DC26" s="26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6"/>
      <c r="DR26" s="26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 t="s">
        <v>62</v>
      </c>
      <c r="EX26" s="21"/>
      <c r="EY26" s="21"/>
      <c r="EZ26" s="21"/>
      <c r="FA26" s="21" t="s">
        <v>62</v>
      </c>
      <c r="FB26" s="21"/>
      <c r="FC26" s="21"/>
      <c r="FD26" s="21"/>
      <c r="FE26" s="21"/>
      <c r="FF26" s="21"/>
      <c r="FG26" s="26"/>
      <c r="FH26" s="26"/>
      <c r="FI26" s="51"/>
      <c r="FJ26" s="26"/>
      <c r="FK26" s="26"/>
      <c r="FL26" s="21" t="s">
        <v>62</v>
      </c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1" t="s">
        <v>62</v>
      </c>
      <c r="GL26" s="26"/>
      <c r="GM26" s="26"/>
      <c r="GN26" s="26"/>
      <c r="GO26" s="26"/>
      <c r="GP26" s="26"/>
      <c r="GQ26" s="26"/>
      <c r="GR26" s="26"/>
      <c r="GS26" s="26"/>
      <c r="GT26" s="26"/>
      <c r="GU26" s="26"/>
      <c r="GV26" s="40"/>
      <c r="GW26" s="26"/>
      <c r="GX26" s="26"/>
      <c r="GY26" s="26"/>
      <c r="GZ26" s="26"/>
      <c r="HA26" s="26"/>
      <c r="HB26" s="26"/>
      <c r="HC26" s="26"/>
      <c r="HD26" s="26"/>
      <c r="HE26" s="26"/>
      <c r="HF26" s="26"/>
      <c r="HG26" s="21" t="s">
        <v>62</v>
      </c>
      <c r="HH26" s="26"/>
      <c r="HI26" s="26"/>
      <c r="HJ26" s="26"/>
      <c r="HK26" s="26"/>
      <c r="HL26" s="26"/>
      <c r="HM26" s="26"/>
      <c r="HN26" s="26"/>
      <c r="HO26" s="26"/>
      <c r="HP26" s="26"/>
      <c r="HQ26" s="26"/>
      <c r="HR26" s="26"/>
      <c r="HS26" s="26"/>
      <c r="HT26" s="40"/>
    </row>
    <row r="27">
      <c r="A27" s="52" t="s">
        <v>114</v>
      </c>
      <c r="B27" s="21" t="s">
        <v>53</v>
      </c>
      <c r="C27" s="21" t="s">
        <v>115</v>
      </c>
      <c r="D27" s="21"/>
      <c r="E27" s="21">
        <v>9.124860547E9</v>
      </c>
      <c r="F27" s="23" t="s">
        <v>43</v>
      </c>
      <c r="G27" s="24" t="s">
        <v>44</v>
      </c>
      <c r="H27" s="29"/>
      <c r="I27" s="24" t="s">
        <v>44</v>
      </c>
      <c r="J27" s="24" t="s">
        <v>116</v>
      </c>
      <c r="K27" s="24" t="s">
        <v>43</v>
      </c>
      <c r="L27" s="24" t="s">
        <v>44</v>
      </c>
      <c r="M27" s="24" t="s">
        <v>44</v>
      </c>
      <c r="N27" s="24" t="s">
        <v>43</v>
      </c>
      <c r="O27" s="24" t="s">
        <v>55</v>
      </c>
      <c r="P27" s="29"/>
      <c r="Q27" s="29"/>
      <c r="R27" s="35"/>
      <c r="S27" s="26"/>
      <c r="T27" s="26"/>
      <c r="U27" s="26"/>
      <c r="V27" s="26"/>
      <c r="W27" s="21" t="s">
        <v>44</v>
      </c>
      <c r="X27" s="21" t="s">
        <v>117</v>
      </c>
      <c r="Y27" s="21" t="s">
        <v>44</v>
      </c>
      <c r="Z27" s="21" t="s">
        <v>44</v>
      </c>
      <c r="AA27" s="21" t="s">
        <v>44</v>
      </c>
      <c r="AB27" s="21" t="s">
        <v>44</v>
      </c>
      <c r="AC27" s="21" t="s">
        <v>44</v>
      </c>
      <c r="AD27" s="21" t="s">
        <v>44</v>
      </c>
      <c r="AE27" s="21" t="s">
        <v>43</v>
      </c>
      <c r="AF27" s="21" t="s">
        <v>43</v>
      </c>
      <c r="AG27" s="21" t="s">
        <v>44</v>
      </c>
      <c r="AH27" s="21" t="s">
        <v>44</v>
      </c>
      <c r="AI27" s="21" t="s">
        <v>44</v>
      </c>
      <c r="AJ27" s="21" t="s">
        <v>43</v>
      </c>
      <c r="AK27" s="21" t="s">
        <v>44</v>
      </c>
      <c r="AL27" s="21" t="s">
        <v>44</v>
      </c>
      <c r="AM27" s="26"/>
      <c r="AN27" s="21" t="s">
        <v>43</v>
      </c>
      <c r="AO27" s="21" t="s">
        <v>43</v>
      </c>
      <c r="AP27" s="21" t="s">
        <v>43</v>
      </c>
      <c r="AQ27" s="21" t="s">
        <v>43</v>
      </c>
      <c r="AR27" s="21" t="s">
        <v>43</v>
      </c>
      <c r="AS27" s="21" t="s">
        <v>43</v>
      </c>
      <c r="AT27" s="21" t="s">
        <v>43</v>
      </c>
      <c r="AU27" s="21" t="s">
        <v>43</v>
      </c>
      <c r="AV27" s="21" t="s">
        <v>43</v>
      </c>
      <c r="AW27" s="21" t="s">
        <v>43</v>
      </c>
      <c r="AX27" s="21" t="s">
        <v>43</v>
      </c>
      <c r="AY27" s="21" t="s">
        <v>43</v>
      </c>
      <c r="AZ27" s="21" t="s">
        <v>43</v>
      </c>
      <c r="BA27" s="21" t="s">
        <v>43</v>
      </c>
      <c r="BB27" s="21" t="s">
        <v>43</v>
      </c>
      <c r="BC27" s="26"/>
      <c r="BD27" s="21" t="s">
        <v>44</v>
      </c>
      <c r="BE27" s="26"/>
      <c r="BF27" s="26"/>
      <c r="BG27" s="26"/>
      <c r="BH27" s="21" t="s">
        <v>43</v>
      </c>
      <c r="BI27" s="26"/>
      <c r="BJ27" s="26"/>
      <c r="BK27" s="21" t="s">
        <v>43</v>
      </c>
      <c r="BL27" s="26"/>
      <c r="BM27" s="26"/>
      <c r="BN27" s="26"/>
      <c r="BO27" s="21" t="s">
        <v>44</v>
      </c>
      <c r="BP27" s="21" t="s">
        <v>102</v>
      </c>
      <c r="BQ27" s="21" t="s">
        <v>43</v>
      </c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1" t="s">
        <v>44</v>
      </c>
      <c r="CH27" s="21" t="s">
        <v>44</v>
      </c>
      <c r="CI27" s="21" t="s">
        <v>43</v>
      </c>
      <c r="CJ27" s="21" t="s">
        <v>44</v>
      </c>
      <c r="CK27" s="21" t="s">
        <v>44</v>
      </c>
      <c r="CL27" s="21" t="s">
        <v>44</v>
      </c>
      <c r="CM27" s="21" t="s">
        <v>44</v>
      </c>
      <c r="CN27" s="21" t="s">
        <v>44</v>
      </c>
      <c r="CO27" s="21" t="s">
        <v>43</v>
      </c>
      <c r="CP27" s="26"/>
      <c r="CQ27" s="26"/>
      <c r="CR27" s="21" t="s">
        <v>44</v>
      </c>
      <c r="CS27" s="26"/>
      <c r="CT27" s="21"/>
      <c r="CU27" s="26"/>
      <c r="CV27" s="21" t="s">
        <v>44</v>
      </c>
      <c r="CW27" s="26"/>
      <c r="CX27" s="26"/>
      <c r="CY27" s="26"/>
      <c r="CZ27" s="26"/>
      <c r="DA27" s="26"/>
      <c r="DB27" s="26"/>
      <c r="DC27" s="26"/>
      <c r="DD27" s="21" t="s">
        <v>43</v>
      </c>
      <c r="DE27" s="21" t="s">
        <v>44</v>
      </c>
      <c r="DF27" s="21" t="s">
        <v>44</v>
      </c>
      <c r="DG27" s="21" t="s">
        <v>44</v>
      </c>
      <c r="DH27" s="21" t="s">
        <v>44</v>
      </c>
      <c r="DI27" s="21" t="s">
        <v>43</v>
      </c>
      <c r="DJ27" s="21" t="s">
        <v>44</v>
      </c>
      <c r="DK27" s="21" t="s">
        <v>44</v>
      </c>
      <c r="DL27" s="21" t="s">
        <v>43</v>
      </c>
      <c r="DM27" s="21" t="s">
        <v>110</v>
      </c>
      <c r="DN27" s="21" t="s">
        <v>44</v>
      </c>
      <c r="DO27" s="21" t="s">
        <v>44</v>
      </c>
      <c r="DP27" s="21" t="s">
        <v>110</v>
      </c>
      <c r="DQ27" s="26"/>
      <c r="DR27" s="26"/>
      <c r="DS27" s="21" t="s">
        <v>44</v>
      </c>
      <c r="DT27" s="21" t="s">
        <v>44</v>
      </c>
      <c r="DU27" s="21" t="s">
        <v>43</v>
      </c>
      <c r="DV27" s="21" t="s">
        <v>43</v>
      </c>
      <c r="DW27" s="21" t="s">
        <v>43</v>
      </c>
      <c r="DX27" s="21" t="s">
        <v>43</v>
      </c>
      <c r="DY27" s="21" t="s">
        <v>43</v>
      </c>
      <c r="DZ27" s="21" t="s">
        <v>44</v>
      </c>
      <c r="EA27" s="21" t="s">
        <v>43</v>
      </c>
      <c r="EB27" s="21" t="s">
        <v>44</v>
      </c>
      <c r="EC27" s="21" t="s">
        <v>44</v>
      </c>
      <c r="ED27" s="21" t="s">
        <v>44</v>
      </c>
      <c r="EE27" s="21" t="s">
        <v>44</v>
      </c>
      <c r="EF27" s="21" t="s">
        <v>110</v>
      </c>
      <c r="EG27" s="21" t="s">
        <v>43</v>
      </c>
      <c r="EH27" s="21" t="s">
        <v>44</v>
      </c>
      <c r="EI27" s="21" t="s">
        <v>43</v>
      </c>
      <c r="EJ27" s="21" t="s">
        <v>44</v>
      </c>
      <c r="EK27" s="21" t="s">
        <v>44</v>
      </c>
      <c r="EL27" s="21" t="s">
        <v>44</v>
      </c>
      <c r="EM27" s="21" t="s">
        <v>43</v>
      </c>
      <c r="EN27" s="21" t="s">
        <v>110</v>
      </c>
      <c r="EO27" s="21" t="s">
        <v>44</v>
      </c>
      <c r="EP27" s="21" t="s">
        <v>44</v>
      </c>
      <c r="EQ27" s="21" t="s">
        <v>43</v>
      </c>
      <c r="ER27" s="21" t="s">
        <v>44</v>
      </c>
      <c r="ES27" s="21" t="s">
        <v>43</v>
      </c>
      <c r="ET27" s="21" t="s">
        <v>43</v>
      </c>
      <c r="EU27" s="21" t="s">
        <v>43</v>
      </c>
      <c r="EV27" s="21" t="s">
        <v>43</v>
      </c>
      <c r="EW27" s="21" t="s">
        <v>43</v>
      </c>
      <c r="EX27" s="21" t="s">
        <v>43</v>
      </c>
      <c r="EY27" s="21" t="s">
        <v>43</v>
      </c>
      <c r="EZ27" s="21" t="s">
        <v>43</v>
      </c>
      <c r="FA27" s="21" t="s">
        <v>43</v>
      </c>
      <c r="FB27" s="21" t="s">
        <v>43</v>
      </c>
      <c r="FC27" s="21" t="s">
        <v>44</v>
      </c>
      <c r="FD27" s="21" t="s">
        <v>44</v>
      </c>
      <c r="FE27" s="21" t="s">
        <v>43</v>
      </c>
      <c r="FF27" s="21" t="s">
        <v>44</v>
      </c>
      <c r="FG27" s="21" t="s">
        <v>44</v>
      </c>
      <c r="FH27" s="21" t="s">
        <v>43</v>
      </c>
      <c r="FI27" s="31" t="s">
        <v>110</v>
      </c>
      <c r="FJ27" s="21" t="s">
        <v>43</v>
      </c>
      <c r="FK27" s="21" t="s">
        <v>44</v>
      </c>
      <c r="FL27" s="21" t="s">
        <v>77</v>
      </c>
      <c r="FM27" s="21" t="s">
        <v>44</v>
      </c>
      <c r="FN27" s="21" t="s">
        <v>44</v>
      </c>
      <c r="FO27" s="21" t="s">
        <v>44</v>
      </c>
      <c r="FP27" s="21" t="s">
        <v>44</v>
      </c>
      <c r="FQ27" s="21" t="s">
        <v>44</v>
      </c>
      <c r="FR27" s="21" t="s">
        <v>44</v>
      </c>
      <c r="FS27" s="21" t="s">
        <v>78</v>
      </c>
      <c r="FT27" s="21" t="s">
        <v>44</v>
      </c>
      <c r="FU27" s="21" t="s">
        <v>44</v>
      </c>
      <c r="FV27" s="21" t="s">
        <v>43</v>
      </c>
      <c r="FW27" s="21" t="s">
        <v>43</v>
      </c>
      <c r="FX27" s="21"/>
      <c r="FY27" s="21" t="s">
        <v>43</v>
      </c>
      <c r="FZ27" s="21" t="s">
        <v>110</v>
      </c>
      <c r="GA27" s="21" t="s">
        <v>44</v>
      </c>
      <c r="GB27" s="21" t="s">
        <v>78</v>
      </c>
      <c r="GC27" s="21" t="s">
        <v>44</v>
      </c>
      <c r="GD27" s="21" t="s">
        <v>44</v>
      </c>
      <c r="GE27" s="21" t="s">
        <v>44</v>
      </c>
      <c r="GF27" s="21" t="s">
        <v>44</v>
      </c>
      <c r="GG27" s="21" t="s">
        <v>44</v>
      </c>
      <c r="GH27" s="21" t="s">
        <v>44</v>
      </c>
      <c r="GI27" s="21" t="s">
        <v>44</v>
      </c>
      <c r="GJ27" s="21" t="s">
        <v>43</v>
      </c>
      <c r="GK27" s="21" t="s">
        <v>77</v>
      </c>
      <c r="GL27" s="21" t="s">
        <v>44</v>
      </c>
      <c r="GM27" s="21" t="s">
        <v>44</v>
      </c>
      <c r="GN27" s="21" t="s">
        <v>44</v>
      </c>
      <c r="GO27" s="21"/>
      <c r="GP27" s="21" t="s">
        <v>78</v>
      </c>
      <c r="GQ27" s="21"/>
      <c r="GR27" s="21" t="s">
        <v>43</v>
      </c>
      <c r="GS27" s="21" t="s">
        <v>43</v>
      </c>
      <c r="GT27" s="21" t="s">
        <v>43</v>
      </c>
      <c r="GU27" s="21" t="s">
        <v>43</v>
      </c>
      <c r="GV27" s="21" t="s">
        <v>44</v>
      </c>
      <c r="GW27" s="21" t="s">
        <v>43</v>
      </c>
      <c r="GX27" s="21" t="s">
        <v>44</v>
      </c>
      <c r="GY27" s="21" t="s">
        <v>44</v>
      </c>
      <c r="GZ27" s="21" t="s">
        <v>78</v>
      </c>
      <c r="HA27" s="21" t="s">
        <v>44</v>
      </c>
      <c r="HB27" s="21" t="s">
        <v>44</v>
      </c>
      <c r="HC27" s="21" t="s">
        <v>44</v>
      </c>
      <c r="HD27" s="21" t="s">
        <v>78</v>
      </c>
      <c r="HE27" s="21" t="s">
        <v>44</v>
      </c>
      <c r="HF27" s="21" t="s">
        <v>44</v>
      </c>
      <c r="HG27" s="21"/>
      <c r="HH27" s="21"/>
      <c r="HI27" s="21"/>
      <c r="HJ27" s="21" t="s">
        <v>44</v>
      </c>
      <c r="HK27" s="21"/>
      <c r="HL27" s="21"/>
      <c r="HM27" s="21"/>
      <c r="HN27" s="21"/>
      <c r="HO27" s="21"/>
      <c r="HP27" s="21"/>
      <c r="HQ27" s="21"/>
      <c r="HR27" s="21"/>
      <c r="HS27" s="21"/>
      <c r="HT27" s="28"/>
    </row>
    <row r="28">
      <c r="A28" s="53"/>
      <c r="B28" s="21" t="s">
        <v>44</v>
      </c>
      <c r="C28" s="21" t="s">
        <v>118</v>
      </c>
      <c r="D28" s="21"/>
      <c r="E28" s="21">
        <v>8.658095289E9</v>
      </c>
      <c r="F28" s="23" t="s">
        <v>119</v>
      </c>
      <c r="G28" s="24" t="s">
        <v>43</v>
      </c>
      <c r="H28" s="24" t="s">
        <v>44</v>
      </c>
      <c r="I28" s="34"/>
      <c r="J28" s="24" t="s">
        <v>119</v>
      </c>
      <c r="K28" s="24" t="s">
        <v>43</v>
      </c>
      <c r="L28" s="24" t="s">
        <v>43</v>
      </c>
      <c r="M28" s="24" t="s">
        <v>119</v>
      </c>
      <c r="N28" s="29"/>
      <c r="O28" s="24" t="s">
        <v>44</v>
      </c>
      <c r="P28" s="24"/>
      <c r="Q28" s="24" t="s">
        <v>43</v>
      </c>
      <c r="R28" s="35"/>
      <c r="S28" s="21" t="s">
        <v>43</v>
      </c>
      <c r="T28" s="21" t="s">
        <v>43</v>
      </c>
      <c r="U28" s="21" t="s">
        <v>43</v>
      </c>
      <c r="V28" s="21" t="s">
        <v>43</v>
      </c>
      <c r="W28" s="21" t="s">
        <v>43</v>
      </c>
      <c r="X28" s="26"/>
      <c r="Y28" s="21" t="s">
        <v>120</v>
      </c>
      <c r="Z28" s="26"/>
      <c r="AA28" s="26"/>
      <c r="AB28" s="26"/>
      <c r="AC28" s="21" t="s">
        <v>44</v>
      </c>
      <c r="AD28" s="21" t="s">
        <v>121</v>
      </c>
      <c r="AE28" s="21" t="s">
        <v>43</v>
      </c>
      <c r="AF28" s="21" t="s">
        <v>44</v>
      </c>
      <c r="AG28" s="26"/>
      <c r="AH28" s="26"/>
      <c r="AI28" s="26"/>
      <c r="AJ28" s="21" t="s">
        <v>119</v>
      </c>
      <c r="AK28" s="26"/>
      <c r="AL28" s="26"/>
      <c r="AM28" s="26"/>
      <c r="AN28" s="21" t="s">
        <v>121</v>
      </c>
      <c r="AO28" s="26"/>
      <c r="AP28" s="26"/>
      <c r="AQ28" s="26"/>
      <c r="AR28" s="21" t="s">
        <v>43</v>
      </c>
      <c r="AS28" s="21" t="s">
        <v>43</v>
      </c>
      <c r="AT28" s="21" t="s">
        <v>121</v>
      </c>
      <c r="AU28" s="26"/>
      <c r="AV28" s="21" t="s">
        <v>43</v>
      </c>
      <c r="AW28" s="21" t="s">
        <v>44</v>
      </c>
      <c r="AX28" s="26"/>
      <c r="AY28" s="26"/>
      <c r="AZ28" s="26"/>
      <c r="BA28" s="21" t="s">
        <v>120</v>
      </c>
      <c r="BB28" s="26"/>
      <c r="BC28" s="26"/>
      <c r="BD28" s="26"/>
      <c r="BE28" s="26"/>
      <c r="BF28" s="21" t="s">
        <v>120</v>
      </c>
      <c r="BG28" s="26"/>
      <c r="BH28" s="26"/>
      <c r="BI28" s="21" t="s">
        <v>120</v>
      </c>
      <c r="BJ28" s="26"/>
      <c r="BK28" s="26"/>
      <c r="BL28" s="26"/>
      <c r="BM28" s="21" t="s">
        <v>120</v>
      </c>
      <c r="BN28" s="27" t="s">
        <v>43</v>
      </c>
      <c r="BO28" s="26"/>
      <c r="BP28" s="21" t="s">
        <v>44</v>
      </c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1" t="s">
        <v>110</v>
      </c>
      <c r="CH28" s="27" t="s">
        <v>43</v>
      </c>
      <c r="CI28" s="27" t="s">
        <v>43</v>
      </c>
      <c r="CJ28" s="26"/>
      <c r="CK28" s="21" t="s">
        <v>110</v>
      </c>
      <c r="CL28" s="27" t="s">
        <v>43</v>
      </c>
      <c r="CM28" s="27" t="s">
        <v>43</v>
      </c>
      <c r="CN28" s="27" t="s">
        <v>43</v>
      </c>
      <c r="CO28" s="27" t="s">
        <v>43</v>
      </c>
      <c r="CP28" s="21" t="s">
        <v>44</v>
      </c>
      <c r="CQ28" s="26"/>
      <c r="CR28" s="26"/>
      <c r="CS28" s="21" t="s">
        <v>44</v>
      </c>
      <c r="CT28" s="21" t="s">
        <v>44</v>
      </c>
      <c r="CU28" s="21" t="s">
        <v>110</v>
      </c>
      <c r="CV28" s="27" t="s">
        <v>43</v>
      </c>
      <c r="CW28" s="27" t="s">
        <v>43</v>
      </c>
      <c r="CX28" s="21" t="s">
        <v>110</v>
      </c>
      <c r="CY28" s="21" t="s">
        <v>44</v>
      </c>
      <c r="CZ28" s="26"/>
      <c r="DA28" s="21" t="s">
        <v>43</v>
      </c>
      <c r="DB28" s="21" t="s">
        <v>110</v>
      </c>
      <c r="DC28" s="21" t="s">
        <v>77</v>
      </c>
      <c r="DD28" s="26"/>
      <c r="DE28" s="21" t="s">
        <v>110</v>
      </c>
      <c r="DF28" s="21" t="s">
        <v>43</v>
      </c>
      <c r="DG28" s="26"/>
      <c r="DH28" s="21" t="s">
        <v>110</v>
      </c>
      <c r="DI28" s="21" t="s">
        <v>43</v>
      </c>
      <c r="DJ28" s="21" t="s">
        <v>43</v>
      </c>
      <c r="DK28" s="21" t="s">
        <v>43</v>
      </c>
      <c r="DL28" s="21" t="s">
        <v>44</v>
      </c>
      <c r="DM28" s="26"/>
      <c r="DN28" s="26"/>
      <c r="DO28" s="21" t="s">
        <v>110</v>
      </c>
      <c r="DP28" s="21"/>
      <c r="DQ28" s="21" t="s">
        <v>43</v>
      </c>
      <c r="DR28" s="21" t="s">
        <v>43</v>
      </c>
      <c r="DS28" s="21" t="s">
        <v>110</v>
      </c>
      <c r="DT28" s="21" t="s">
        <v>43</v>
      </c>
      <c r="DU28" s="21" t="s">
        <v>43</v>
      </c>
      <c r="DV28" s="21" t="s">
        <v>43</v>
      </c>
      <c r="DW28" s="21" t="s">
        <v>43</v>
      </c>
      <c r="DX28" s="21" t="s">
        <v>43</v>
      </c>
      <c r="DY28" s="21"/>
      <c r="DZ28" s="21" t="s">
        <v>43</v>
      </c>
      <c r="EA28" s="21" t="s">
        <v>122</v>
      </c>
      <c r="EB28" s="21" t="s">
        <v>110</v>
      </c>
      <c r="EC28" s="21"/>
      <c r="ED28" s="21"/>
      <c r="EE28" s="21" t="s">
        <v>43</v>
      </c>
      <c r="EF28" s="21" t="s">
        <v>43</v>
      </c>
      <c r="EG28" s="21"/>
      <c r="EH28" s="21" t="s">
        <v>43</v>
      </c>
      <c r="EI28" s="21" t="s">
        <v>44</v>
      </c>
      <c r="EJ28" s="21" t="s">
        <v>43</v>
      </c>
      <c r="EK28" s="21"/>
      <c r="EL28" s="21" t="s">
        <v>43</v>
      </c>
      <c r="EM28" s="21" t="s">
        <v>110</v>
      </c>
      <c r="EN28" s="21" t="s">
        <v>43</v>
      </c>
      <c r="EO28" s="21" t="s">
        <v>110</v>
      </c>
      <c r="EP28" s="21" t="s">
        <v>43</v>
      </c>
      <c r="EQ28" s="21" t="s">
        <v>43</v>
      </c>
      <c r="ER28" s="21" t="s">
        <v>43</v>
      </c>
      <c r="ES28" s="21" t="s">
        <v>44</v>
      </c>
      <c r="ET28" s="21" t="s">
        <v>44</v>
      </c>
      <c r="EU28" s="21" t="s">
        <v>43</v>
      </c>
      <c r="EV28" s="21" t="s">
        <v>43</v>
      </c>
      <c r="EW28" s="21" t="s">
        <v>43</v>
      </c>
      <c r="EX28" s="21" t="s">
        <v>43</v>
      </c>
      <c r="EY28" s="21" t="s">
        <v>44</v>
      </c>
      <c r="EZ28" s="21" t="s">
        <v>43</v>
      </c>
      <c r="FA28" s="21"/>
      <c r="FB28" s="21" t="s">
        <v>43</v>
      </c>
      <c r="FC28" s="21" t="s">
        <v>110</v>
      </c>
      <c r="FD28" s="21" t="s">
        <v>43</v>
      </c>
      <c r="FE28" s="21" t="s">
        <v>43</v>
      </c>
      <c r="FF28" s="21" t="s">
        <v>43</v>
      </c>
      <c r="FG28" s="21" t="s">
        <v>43</v>
      </c>
      <c r="FH28" s="21" t="s">
        <v>43</v>
      </c>
      <c r="FI28" s="31" t="s">
        <v>43</v>
      </c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 t="s">
        <v>43</v>
      </c>
      <c r="GA28" s="21" t="s">
        <v>43</v>
      </c>
      <c r="GB28" s="21"/>
      <c r="GC28" s="21" t="s">
        <v>43</v>
      </c>
      <c r="GD28" s="21"/>
      <c r="GE28" s="21" t="s">
        <v>43</v>
      </c>
      <c r="GF28" s="21"/>
      <c r="GG28" s="21"/>
      <c r="GH28" s="21"/>
      <c r="GI28" s="21"/>
      <c r="GJ28" s="21" t="s">
        <v>43</v>
      </c>
      <c r="GK28" s="21" t="s">
        <v>78</v>
      </c>
      <c r="GL28" s="21"/>
      <c r="GM28" s="21" t="s">
        <v>110</v>
      </c>
      <c r="GN28" s="21"/>
      <c r="GO28" s="21" t="s">
        <v>44</v>
      </c>
      <c r="GP28" s="21" t="s">
        <v>43</v>
      </c>
      <c r="GQ28" s="21" t="s">
        <v>44</v>
      </c>
      <c r="GR28" s="21" t="s">
        <v>43</v>
      </c>
      <c r="GS28" s="21" t="s">
        <v>43</v>
      </c>
      <c r="GT28" s="21" t="s">
        <v>43</v>
      </c>
      <c r="GU28" s="21"/>
      <c r="GV28" s="21" t="s">
        <v>43</v>
      </c>
      <c r="GW28" s="21" t="s">
        <v>43</v>
      </c>
      <c r="GX28" s="21" t="s">
        <v>43</v>
      </c>
      <c r="GY28" s="21" t="s">
        <v>43</v>
      </c>
      <c r="GZ28" s="21" t="s">
        <v>43</v>
      </c>
      <c r="HA28" s="21" t="s">
        <v>43</v>
      </c>
      <c r="HB28" s="21" t="s">
        <v>43</v>
      </c>
      <c r="HC28" s="21" t="s">
        <v>43</v>
      </c>
      <c r="HD28" s="21" t="s">
        <v>43</v>
      </c>
      <c r="HE28" s="21"/>
      <c r="HF28" s="21" t="s">
        <v>43</v>
      </c>
      <c r="HG28" s="21" t="s">
        <v>43</v>
      </c>
      <c r="HH28" s="21"/>
      <c r="HI28" s="21"/>
      <c r="HJ28" s="21"/>
      <c r="HK28" s="21" t="s">
        <v>43</v>
      </c>
      <c r="HL28" s="21" t="s">
        <v>43</v>
      </c>
      <c r="HM28" s="21"/>
      <c r="HN28" s="21"/>
      <c r="HO28" s="21"/>
      <c r="HP28" s="21" t="s">
        <v>43</v>
      </c>
      <c r="HQ28" s="21" t="s">
        <v>43</v>
      </c>
      <c r="HR28" s="21"/>
      <c r="HS28" s="21"/>
      <c r="HT28" s="21" t="s">
        <v>43</v>
      </c>
    </row>
    <row r="29">
      <c r="A29" s="53"/>
      <c r="B29" s="21" t="s">
        <v>110</v>
      </c>
      <c r="C29" s="21" t="s">
        <v>123</v>
      </c>
      <c r="D29" s="21"/>
      <c r="E29" s="21">
        <v>2.565686231E9</v>
      </c>
      <c r="F29" s="46"/>
      <c r="G29" s="24" t="s">
        <v>119</v>
      </c>
      <c r="H29" s="29"/>
      <c r="I29" s="24" t="s">
        <v>119</v>
      </c>
      <c r="J29" s="29"/>
      <c r="K29" s="24" t="s">
        <v>43</v>
      </c>
      <c r="L29" s="29"/>
      <c r="M29" s="29"/>
      <c r="N29" s="24" t="s">
        <v>119</v>
      </c>
      <c r="O29" s="29"/>
      <c r="P29" s="29"/>
      <c r="Q29" s="24" t="s">
        <v>43</v>
      </c>
      <c r="R29" s="35"/>
      <c r="S29" s="26"/>
      <c r="T29" s="21" t="s">
        <v>119</v>
      </c>
      <c r="U29" s="21" t="s">
        <v>43</v>
      </c>
      <c r="V29" s="26"/>
      <c r="W29" s="21" t="s">
        <v>119</v>
      </c>
      <c r="X29" s="26"/>
      <c r="Y29" s="26"/>
      <c r="Z29" s="21" t="s">
        <v>120</v>
      </c>
      <c r="AA29" s="26"/>
      <c r="AB29" s="21" t="s">
        <v>121</v>
      </c>
      <c r="AC29" s="26"/>
      <c r="AD29" s="26"/>
      <c r="AE29" s="26"/>
      <c r="AF29" s="26"/>
      <c r="AG29" s="21" t="s">
        <v>121</v>
      </c>
      <c r="AH29" s="21" t="s">
        <v>119</v>
      </c>
      <c r="AI29" s="26"/>
      <c r="AJ29" s="26"/>
      <c r="AK29" s="26"/>
      <c r="AL29" s="21" t="s">
        <v>121</v>
      </c>
      <c r="AM29" s="26"/>
      <c r="AN29" s="26"/>
      <c r="AO29" s="21" t="s">
        <v>121</v>
      </c>
      <c r="AP29" s="26"/>
      <c r="AQ29" s="26"/>
      <c r="AR29" s="26"/>
      <c r="AS29" s="21" t="s">
        <v>121</v>
      </c>
      <c r="AT29" s="26"/>
      <c r="AU29" s="26"/>
      <c r="AV29" s="26"/>
      <c r="AW29" s="21" t="s">
        <v>120</v>
      </c>
      <c r="AX29" s="26"/>
      <c r="AY29" s="26"/>
      <c r="AZ29" s="26"/>
      <c r="BA29" s="26"/>
      <c r="BB29" s="26"/>
      <c r="BC29" s="21" t="s">
        <v>120</v>
      </c>
      <c r="BD29" s="26"/>
      <c r="BE29" s="26"/>
      <c r="BF29" s="26"/>
      <c r="BG29" s="21" t="s">
        <v>120</v>
      </c>
      <c r="BH29" s="26"/>
      <c r="BI29" s="26"/>
      <c r="BJ29" s="21" t="s">
        <v>120</v>
      </c>
      <c r="BK29" s="26"/>
      <c r="BL29" s="26"/>
      <c r="BM29" s="26"/>
      <c r="BN29" s="26"/>
      <c r="BO29" s="26"/>
      <c r="BP29" s="21" t="s">
        <v>120</v>
      </c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1" t="s">
        <v>110</v>
      </c>
      <c r="CI29" s="21" t="s">
        <v>43</v>
      </c>
      <c r="CJ29" s="21" t="s">
        <v>110</v>
      </c>
      <c r="CK29" s="26"/>
      <c r="CL29" s="21" t="s">
        <v>110</v>
      </c>
      <c r="CM29" s="26"/>
      <c r="CN29" s="21" t="s">
        <v>110</v>
      </c>
      <c r="CO29" s="21" t="s">
        <v>110</v>
      </c>
      <c r="CP29" s="21" t="s">
        <v>43</v>
      </c>
      <c r="CQ29" s="21" t="s">
        <v>43</v>
      </c>
      <c r="CR29" s="21" t="s">
        <v>43</v>
      </c>
      <c r="CS29" s="21" t="s">
        <v>110</v>
      </c>
      <c r="CT29" s="26"/>
      <c r="CU29" s="26"/>
      <c r="CV29" s="21" t="s">
        <v>110</v>
      </c>
      <c r="CW29" s="21" t="s">
        <v>110</v>
      </c>
      <c r="CX29" s="26"/>
      <c r="CY29" s="26"/>
      <c r="CZ29" s="26"/>
      <c r="DA29" s="21" t="s">
        <v>43</v>
      </c>
      <c r="DB29" s="21" t="s">
        <v>43</v>
      </c>
      <c r="DC29" s="21" t="s">
        <v>110</v>
      </c>
      <c r="DD29" s="26"/>
      <c r="DE29" s="26"/>
      <c r="DF29" s="21"/>
      <c r="DG29" s="21" t="s">
        <v>122</v>
      </c>
      <c r="DH29" s="26"/>
      <c r="DI29" s="21"/>
      <c r="DJ29" s="21" t="s">
        <v>110</v>
      </c>
      <c r="DK29" s="21" t="s">
        <v>43</v>
      </c>
      <c r="DL29" s="21" t="s">
        <v>110</v>
      </c>
      <c r="DM29" s="21"/>
      <c r="DN29" s="21" t="s">
        <v>110</v>
      </c>
      <c r="DO29" s="26"/>
      <c r="DP29" s="26"/>
      <c r="DQ29" s="21" t="s">
        <v>43</v>
      </c>
      <c r="DR29" s="21"/>
      <c r="DS29" s="21"/>
      <c r="DT29" s="21" t="s">
        <v>110</v>
      </c>
      <c r="DU29" s="21" t="s">
        <v>43</v>
      </c>
      <c r="DV29" s="21" t="s">
        <v>43</v>
      </c>
      <c r="DW29" s="21" t="s">
        <v>110</v>
      </c>
      <c r="DX29" s="21"/>
      <c r="DY29" s="21" t="s">
        <v>122</v>
      </c>
      <c r="DZ29" s="21" t="s">
        <v>122</v>
      </c>
      <c r="EA29" s="21"/>
      <c r="EB29" s="21"/>
      <c r="EC29" s="21" t="s">
        <v>110</v>
      </c>
      <c r="ED29" s="21" t="s">
        <v>43</v>
      </c>
      <c r="EE29" s="21" t="s">
        <v>122</v>
      </c>
      <c r="EF29" s="21"/>
      <c r="EG29" s="21" t="s">
        <v>43</v>
      </c>
      <c r="EH29" s="21"/>
      <c r="EI29" s="21" t="s">
        <v>110</v>
      </c>
      <c r="EJ29" s="21" t="s">
        <v>43</v>
      </c>
      <c r="EK29" s="21" t="s">
        <v>110</v>
      </c>
      <c r="EL29" s="21"/>
      <c r="EM29" s="21" t="s">
        <v>43</v>
      </c>
      <c r="EN29" s="21" t="s">
        <v>43</v>
      </c>
      <c r="EO29" s="21"/>
      <c r="EP29" s="21" t="s">
        <v>110</v>
      </c>
      <c r="EQ29" s="21" t="s">
        <v>43</v>
      </c>
      <c r="ER29" s="21" t="s">
        <v>122</v>
      </c>
      <c r="ES29" s="21"/>
      <c r="ET29" s="21"/>
      <c r="EU29" s="21" t="s">
        <v>122</v>
      </c>
      <c r="EV29" s="21" t="s">
        <v>110</v>
      </c>
      <c r="EW29" s="21" t="s">
        <v>122</v>
      </c>
      <c r="EX29" s="21" t="s">
        <v>110</v>
      </c>
      <c r="EY29" s="21"/>
      <c r="EZ29" s="21" t="s">
        <v>110</v>
      </c>
      <c r="FA29" s="21" t="s">
        <v>43</v>
      </c>
      <c r="FB29" s="21"/>
      <c r="FC29" s="21" t="s">
        <v>43</v>
      </c>
      <c r="FD29" s="21"/>
      <c r="FE29" s="21" t="s">
        <v>110</v>
      </c>
      <c r="FF29" s="21" t="s">
        <v>43</v>
      </c>
      <c r="FG29" s="21" t="s">
        <v>110</v>
      </c>
      <c r="FH29" s="21"/>
      <c r="FI29" s="31"/>
      <c r="FJ29" s="21" t="s">
        <v>110</v>
      </c>
      <c r="FK29" s="21" t="s">
        <v>110</v>
      </c>
      <c r="FL29" s="21"/>
      <c r="FM29" s="21" t="s">
        <v>110</v>
      </c>
      <c r="FN29" s="21" t="s">
        <v>110</v>
      </c>
      <c r="FO29" s="21" t="s">
        <v>110</v>
      </c>
      <c r="FP29" s="21" t="s">
        <v>43</v>
      </c>
      <c r="FQ29" s="21" t="s">
        <v>122</v>
      </c>
      <c r="FR29" s="21" t="s">
        <v>122</v>
      </c>
      <c r="FS29" s="21" t="s">
        <v>43</v>
      </c>
      <c r="FT29" s="21" t="s">
        <v>110</v>
      </c>
      <c r="FU29" s="21" t="s">
        <v>110</v>
      </c>
      <c r="FV29" s="21" t="s">
        <v>43</v>
      </c>
      <c r="FW29" s="21" t="s">
        <v>110</v>
      </c>
      <c r="FX29" s="21" t="s">
        <v>110</v>
      </c>
      <c r="FY29" s="21" t="s">
        <v>110</v>
      </c>
      <c r="FZ29" s="21" t="s">
        <v>43</v>
      </c>
      <c r="GA29" s="21" t="s">
        <v>122</v>
      </c>
      <c r="GB29" s="21" t="s">
        <v>122</v>
      </c>
      <c r="GC29" s="21" t="s">
        <v>122</v>
      </c>
      <c r="GD29" s="21" t="s">
        <v>110</v>
      </c>
      <c r="GE29" s="21" t="s">
        <v>110</v>
      </c>
      <c r="GF29" s="21" t="s">
        <v>110</v>
      </c>
      <c r="GG29" s="21" t="s">
        <v>110</v>
      </c>
      <c r="GH29" s="21" t="s">
        <v>110</v>
      </c>
      <c r="GI29" s="21" t="s">
        <v>43</v>
      </c>
      <c r="GJ29" s="21" t="s">
        <v>110</v>
      </c>
      <c r="GK29" s="21" t="s">
        <v>43</v>
      </c>
      <c r="GL29" s="21" t="s">
        <v>110</v>
      </c>
      <c r="GM29" s="21" t="s">
        <v>43</v>
      </c>
      <c r="GN29" s="21" t="s">
        <v>43</v>
      </c>
      <c r="GO29" s="21" t="s">
        <v>122</v>
      </c>
      <c r="GP29" s="21" t="s">
        <v>43</v>
      </c>
      <c r="GQ29" s="21" t="s">
        <v>122</v>
      </c>
      <c r="GR29" s="21" t="s">
        <v>110</v>
      </c>
      <c r="GS29" s="21" t="s">
        <v>43</v>
      </c>
      <c r="GT29" s="21" t="s">
        <v>110</v>
      </c>
      <c r="GU29" s="21"/>
      <c r="GV29" s="28" t="s">
        <v>43</v>
      </c>
      <c r="GW29" s="21" t="s">
        <v>110</v>
      </c>
      <c r="GX29" s="21" t="s">
        <v>43</v>
      </c>
      <c r="GY29" s="21" t="s">
        <v>110</v>
      </c>
      <c r="GZ29" s="21" t="s">
        <v>110</v>
      </c>
      <c r="HA29" s="21" t="s">
        <v>43</v>
      </c>
      <c r="HB29" s="21" t="s">
        <v>110</v>
      </c>
      <c r="HC29" s="21" t="s">
        <v>110</v>
      </c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8"/>
    </row>
    <row r="30">
      <c r="A30" s="53"/>
      <c r="B30" s="21" t="s">
        <v>124</v>
      </c>
      <c r="C30" s="21" t="s">
        <v>125</v>
      </c>
      <c r="D30" s="21"/>
      <c r="E30" s="21">
        <v>7.623957264E9</v>
      </c>
      <c r="F30" s="46"/>
      <c r="G30" s="24" t="s">
        <v>119</v>
      </c>
      <c r="H30" s="29"/>
      <c r="I30" s="24" t="s">
        <v>119</v>
      </c>
      <c r="J30" s="29"/>
      <c r="K30" s="24" t="s">
        <v>119</v>
      </c>
      <c r="L30" s="29"/>
      <c r="M30" s="24"/>
      <c r="N30" s="29"/>
      <c r="O30" s="24" t="s">
        <v>119</v>
      </c>
      <c r="P30" s="29"/>
      <c r="Q30" s="24"/>
      <c r="R30" s="35"/>
      <c r="S30" s="21" t="s">
        <v>120</v>
      </c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1" t="s">
        <v>119</v>
      </c>
      <c r="AF30" s="26"/>
      <c r="AG30" s="26"/>
      <c r="AH30" s="26"/>
      <c r="AI30" s="21" t="s">
        <v>119</v>
      </c>
      <c r="AJ30" s="26"/>
      <c r="AK30" s="26"/>
      <c r="AL30" s="26"/>
      <c r="AM30" s="21" t="s">
        <v>121</v>
      </c>
      <c r="AN30" s="26"/>
      <c r="AO30" s="26"/>
      <c r="AP30" s="26"/>
      <c r="AQ30" s="21" t="s">
        <v>121</v>
      </c>
      <c r="AR30" s="21" t="s">
        <v>121</v>
      </c>
      <c r="AS30" s="26"/>
      <c r="AT30" s="26"/>
      <c r="AU30" s="21" t="s">
        <v>121</v>
      </c>
      <c r="AV30" s="21" t="s">
        <v>120</v>
      </c>
      <c r="AW30" s="26"/>
      <c r="AX30" s="26"/>
      <c r="AY30" s="26"/>
      <c r="AZ30" s="21" t="s">
        <v>120</v>
      </c>
      <c r="BA30" s="26"/>
      <c r="BB30" s="21" t="s">
        <v>120</v>
      </c>
      <c r="BC30" s="26"/>
      <c r="BD30" s="21" t="s">
        <v>120</v>
      </c>
      <c r="BE30" s="26"/>
      <c r="BF30" s="26"/>
      <c r="BG30" s="26"/>
      <c r="BH30" s="21" t="s">
        <v>120</v>
      </c>
      <c r="BI30" s="26"/>
      <c r="BJ30" s="26"/>
      <c r="BK30" s="21" t="s">
        <v>120</v>
      </c>
      <c r="BL30" s="21" t="s">
        <v>120</v>
      </c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1" t="s">
        <v>110</v>
      </c>
      <c r="CJ30" s="26"/>
      <c r="CK30" s="26"/>
      <c r="CL30" s="26"/>
      <c r="CM30" s="26"/>
      <c r="CN30" s="26"/>
      <c r="CO30" s="26"/>
      <c r="CP30" s="21" t="s">
        <v>110</v>
      </c>
      <c r="CQ30" s="21" t="s">
        <v>110</v>
      </c>
      <c r="CR30" s="21" t="s">
        <v>110</v>
      </c>
      <c r="CS30" s="26"/>
      <c r="CT30" s="21" t="s">
        <v>110</v>
      </c>
      <c r="CU30" s="26"/>
      <c r="CV30" s="26"/>
      <c r="CW30" s="26"/>
      <c r="CX30" s="26"/>
      <c r="CY30" s="21" t="s">
        <v>110</v>
      </c>
      <c r="CZ30" s="21" t="s">
        <v>110</v>
      </c>
      <c r="DA30" s="21" t="s">
        <v>110</v>
      </c>
      <c r="DB30" s="21"/>
      <c r="DC30" s="21"/>
      <c r="DD30" s="21" t="s">
        <v>110</v>
      </c>
      <c r="DE30" s="21"/>
      <c r="DF30" s="21" t="s">
        <v>122</v>
      </c>
      <c r="DG30" s="21"/>
      <c r="DH30" s="21"/>
      <c r="DI30" s="21" t="s">
        <v>110</v>
      </c>
      <c r="DJ30" s="21"/>
      <c r="DK30" s="21" t="s">
        <v>110</v>
      </c>
      <c r="DL30" s="21"/>
      <c r="DM30" s="21"/>
      <c r="DN30" s="21"/>
      <c r="DO30" s="21"/>
      <c r="DP30" s="21"/>
      <c r="DQ30" s="21" t="s">
        <v>110</v>
      </c>
      <c r="DR30" s="21" t="s">
        <v>110</v>
      </c>
      <c r="DS30" s="21"/>
      <c r="DT30" s="21"/>
      <c r="DU30" s="21" t="s">
        <v>110</v>
      </c>
      <c r="DV30" s="21"/>
      <c r="DW30" s="21"/>
      <c r="DX30" s="21" t="s">
        <v>110</v>
      </c>
      <c r="DY30" s="21"/>
      <c r="DZ30" s="21"/>
      <c r="EA30" s="21"/>
      <c r="EB30" s="21" t="s">
        <v>110</v>
      </c>
      <c r="EC30" s="21"/>
      <c r="ED30" s="21" t="s">
        <v>110</v>
      </c>
      <c r="EE30" s="21"/>
      <c r="EF30" s="21"/>
      <c r="EG30" s="21" t="s">
        <v>110</v>
      </c>
      <c r="EH30" s="21"/>
      <c r="EI30" s="21"/>
      <c r="EJ30" s="21" t="s">
        <v>110</v>
      </c>
      <c r="EK30" s="21"/>
      <c r="EL30" s="21" t="s">
        <v>110</v>
      </c>
      <c r="EM30" s="21"/>
      <c r="EN30" s="21" t="s">
        <v>92</v>
      </c>
      <c r="EO30" s="21"/>
      <c r="EP30" s="21"/>
      <c r="EQ30" s="21" t="s">
        <v>110</v>
      </c>
      <c r="ER30" s="21"/>
      <c r="ES30" s="21" t="s">
        <v>110</v>
      </c>
      <c r="ET30" s="21" t="s">
        <v>122</v>
      </c>
      <c r="EU30" s="21" t="s">
        <v>43</v>
      </c>
      <c r="EV30" s="21" t="s">
        <v>43</v>
      </c>
      <c r="EW30" s="21" t="s">
        <v>92</v>
      </c>
      <c r="EX30" s="21" t="s">
        <v>43</v>
      </c>
      <c r="EY30" s="21" t="s">
        <v>110</v>
      </c>
      <c r="EZ30" s="21" t="s">
        <v>92</v>
      </c>
      <c r="FA30" s="21" t="s">
        <v>110</v>
      </c>
      <c r="FB30" s="21"/>
      <c r="FC30" s="21" t="s">
        <v>92</v>
      </c>
      <c r="FD30" s="21" t="s">
        <v>122</v>
      </c>
      <c r="FE30" s="21" t="s">
        <v>43</v>
      </c>
      <c r="FF30" s="21" t="s">
        <v>110</v>
      </c>
      <c r="FG30" s="21" t="s">
        <v>116</v>
      </c>
      <c r="FH30" s="21" t="s">
        <v>110</v>
      </c>
      <c r="FI30" s="31" t="s">
        <v>43</v>
      </c>
      <c r="FJ30" s="21" t="s">
        <v>126</v>
      </c>
      <c r="FK30" s="21" t="s">
        <v>116</v>
      </c>
      <c r="FL30" s="21" t="s">
        <v>110</v>
      </c>
      <c r="FM30" s="21" t="s">
        <v>126</v>
      </c>
      <c r="FN30" s="21" t="s">
        <v>43</v>
      </c>
      <c r="FO30" s="21" t="s">
        <v>126</v>
      </c>
      <c r="FP30" s="21" t="s">
        <v>110</v>
      </c>
      <c r="FQ30" s="21" t="s">
        <v>126</v>
      </c>
      <c r="FR30" s="21" t="s">
        <v>43</v>
      </c>
      <c r="FS30" s="21" t="s">
        <v>110</v>
      </c>
      <c r="FT30" s="21" t="s">
        <v>43</v>
      </c>
      <c r="FU30" s="21" t="s">
        <v>43</v>
      </c>
      <c r="FV30" s="21" t="s">
        <v>43</v>
      </c>
      <c r="FW30" s="21" t="s">
        <v>43</v>
      </c>
      <c r="FX30" s="21"/>
      <c r="FY30" s="21" t="s">
        <v>43</v>
      </c>
      <c r="FZ30" s="21" t="s">
        <v>43</v>
      </c>
      <c r="GA30" s="21"/>
      <c r="GB30" s="21"/>
      <c r="GC30" s="21"/>
      <c r="GD30" s="21" t="s">
        <v>127</v>
      </c>
      <c r="GE30" s="21" t="s">
        <v>128</v>
      </c>
      <c r="GF30" s="21" t="s">
        <v>127</v>
      </c>
      <c r="GG30" s="21" t="s">
        <v>127</v>
      </c>
      <c r="GH30" s="21" t="s">
        <v>128</v>
      </c>
      <c r="GI30" s="21" t="s">
        <v>110</v>
      </c>
      <c r="GJ30" s="21" t="s">
        <v>127</v>
      </c>
      <c r="GK30" s="21" t="s">
        <v>129</v>
      </c>
      <c r="GL30" s="21" t="s">
        <v>43</v>
      </c>
      <c r="GM30" s="21" t="s">
        <v>43</v>
      </c>
      <c r="GN30" s="21" t="s">
        <v>130</v>
      </c>
      <c r="GO30" s="21" t="s">
        <v>130</v>
      </c>
      <c r="GP30" s="21" t="s">
        <v>122</v>
      </c>
      <c r="GQ30" s="21" t="s">
        <v>130</v>
      </c>
      <c r="GR30" s="21" t="s">
        <v>128</v>
      </c>
      <c r="GS30" s="21" t="s">
        <v>122</v>
      </c>
      <c r="GT30" s="21" t="s">
        <v>126</v>
      </c>
      <c r="GU30" s="21" t="s">
        <v>110</v>
      </c>
      <c r="GV30" s="28" t="s">
        <v>43</v>
      </c>
      <c r="GW30" s="21" t="s">
        <v>131</v>
      </c>
      <c r="GX30" s="21" t="s">
        <v>110</v>
      </c>
      <c r="GY30" s="21" t="s">
        <v>128</v>
      </c>
      <c r="GZ30" s="21" t="s">
        <v>126</v>
      </c>
      <c r="HA30" s="21" t="s">
        <v>43</v>
      </c>
      <c r="HB30" s="21" t="s">
        <v>43</v>
      </c>
      <c r="HC30" s="21" t="s">
        <v>126</v>
      </c>
      <c r="HD30" s="21" t="s">
        <v>110</v>
      </c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8"/>
    </row>
    <row r="31">
      <c r="A31" s="53"/>
      <c r="B31" s="21" t="s">
        <v>110</v>
      </c>
      <c r="C31" s="21" t="s">
        <v>132</v>
      </c>
      <c r="D31" s="21"/>
      <c r="E31" s="21"/>
      <c r="F31" s="46"/>
      <c r="G31" s="24"/>
      <c r="H31" s="29"/>
      <c r="I31" s="24"/>
      <c r="J31" s="29"/>
      <c r="K31" s="24"/>
      <c r="L31" s="29"/>
      <c r="M31" s="24"/>
      <c r="N31" s="29"/>
      <c r="O31" s="24"/>
      <c r="P31" s="29"/>
      <c r="Q31" s="24"/>
      <c r="R31" s="35"/>
      <c r="S31" s="21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1"/>
      <c r="AF31" s="26"/>
      <c r="AG31" s="26"/>
      <c r="AH31" s="26"/>
      <c r="AI31" s="21"/>
      <c r="AJ31" s="26"/>
      <c r="AK31" s="26"/>
      <c r="AL31" s="26"/>
      <c r="AM31" s="21"/>
      <c r="AN31" s="26"/>
      <c r="AO31" s="26"/>
      <c r="AP31" s="26"/>
      <c r="AQ31" s="21"/>
      <c r="AR31" s="21"/>
      <c r="AS31" s="26"/>
      <c r="AT31" s="26"/>
      <c r="AU31" s="21"/>
      <c r="AV31" s="21"/>
      <c r="AW31" s="26"/>
      <c r="AX31" s="26"/>
      <c r="AY31" s="26"/>
      <c r="AZ31" s="21"/>
      <c r="BA31" s="26"/>
      <c r="BB31" s="21"/>
      <c r="BC31" s="26"/>
      <c r="BD31" s="21"/>
      <c r="BE31" s="26"/>
      <c r="BF31" s="26"/>
      <c r="BG31" s="26"/>
      <c r="BH31" s="21"/>
      <c r="BI31" s="26"/>
      <c r="BJ31" s="26"/>
      <c r="BK31" s="21"/>
      <c r="BL31" s="21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1"/>
      <c r="CJ31" s="26"/>
      <c r="CK31" s="26"/>
      <c r="CL31" s="26"/>
      <c r="CM31" s="26"/>
      <c r="CN31" s="26"/>
      <c r="CO31" s="26"/>
      <c r="CP31" s="21"/>
      <c r="CQ31" s="21"/>
      <c r="CR31" s="21"/>
      <c r="CS31" s="26"/>
      <c r="CT31" s="21"/>
      <c r="CU31" s="26"/>
      <c r="CV31" s="26"/>
      <c r="CW31" s="26"/>
      <c r="CX31" s="26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3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 t="s">
        <v>110</v>
      </c>
      <c r="GF31" s="21"/>
      <c r="GG31" s="21"/>
      <c r="GH31" s="21" t="s">
        <v>110</v>
      </c>
      <c r="GI31" s="21"/>
      <c r="GJ31" s="21"/>
      <c r="GK31" s="21" t="s">
        <v>43</v>
      </c>
      <c r="GL31" s="21"/>
      <c r="GM31" s="21"/>
      <c r="GN31" s="21"/>
      <c r="GO31" s="21" t="s">
        <v>43</v>
      </c>
      <c r="GP31" s="21"/>
      <c r="GQ31" s="21"/>
      <c r="GR31" s="21"/>
      <c r="GS31" s="21"/>
      <c r="GT31" s="21"/>
      <c r="GU31" s="21"/>
      <c r="GV31" s="28"/>
      <c r="GW31" s="21" t="s">
        <v>110</v>
      </c>
      <c r="GX31" s="21"/>
      <c r="GY31" s="21" t="s">
        <v>43</v>
      </c>
      <c r="GZ31" s="21" t="s">
        <v>43</v>
      </c>
      <c r="HA31" s="21" t="s">
        <v>43</v>
      </c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8"/>
    </row>
    <row r="32">
      <c r="A32" s="53"/>
      <c r="B32" s="21" t="s">
        <v>110</v>
      </c>
      <c r="C32" s="21" t="s">
        <v>133</v>
      </c>
      <c r="D32" s="21"/>
      <c r="E32" s="21"/>
      <c r="F32" s="46"/>
      <c r="G32" s="24"/>
      <c r="H32" s="29"/>
      <c r="I32" s="24"/>
      <c r="J32" s="29"/>
      <c r="K32" s="24"/>
      <c r="L32" s="29"/>
      <c r="M32" s="24"/>
      <c r="N32" s="29"/>
      <c r="O32" s="24"/>
      <c r="P32" s="29"/>
      <c r="Q32" s="24"/>
      <c r="R32" s="35"/>
      <c r="S32" s="21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1"/>
      <c r="AF32" s="26"/>
      <c r="AG32" s="26"/>
      <c r="AH32" s="26"/>
      <c r="AI32" s="21"/>
      <c r="AJ32" s="26"/>
      <c r="AK32" s="26"/>
      <c r="AL32" s="26"/>
      <c r="AM32" s="21"/>
      <c r="AN32" s="26"/>
      <c r="AO32" s="26"/>
      <c r="AP32" s="26"/>
      <c r="AQ32" s="21"/>
      <c r="AR32" s="21"/>
      <c r="AS32" s="26"/>
      <c r="AT32" s="26"/>
      <c r="AU32" s="21"/>
      <c r="AV32" s="21"/>
      <c r="AW32" s="26"/>
      <c r="AX32" s="26"/>
      <c r="AY32" s="26"/>
      <c r="AZ32" s="21"/>
      <c r="BA32" s="26"/>
      <c r="BB32" s="21"/>
      <c r="BC32" s="26"/>
      <c r="BD32" s="21"/>
      <c r="BE32" s="26"/>
      <c r="BF32" s="26"/>
      <c r="BG32" s="26"/>
      <c r="BH32" s="21"/>
      <c r="BI32" s="26"/>
      <c r="BJ32" s="26"/>
      <c r="BK32" s="21"/>
      <c r="BL32" s="21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1"/>
      <c r="CJ32" s="26"/>
      <c r="CK32" s="26"/>
      <c r="CL32" s="26"/>
      <c r="CM32" s="26"/>
      <c r="CN32" s="26"/>
      <c r="CO32" s="26"/>
      <c r="CP32" s="21"/>
      <c r="CQ32" s="21"/>
      <c r="CR32" s="21"/>
      <c r="CS32" s="26"/>
      <c r="CT32" s="21"/>
      <c r="CU32" s="26"/>
      <c r="CV32" s="26"/>
      <c r="CW32" s="26"/>
      <c r="CX32" s="26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5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55"/>
      <c r="GW32" s="4"/>
      <c r="GX32" s="4"/>
      <c r="GY32" s="4" t="s">
        <v>43</v>
      </c>
      <c r="GZ32" s="4" t="s">
        <v>43</v>
      </c>
      <c r="HA32" s="4"/>
      <c r="HB32" s="4" t="s">
        <v>110</v>
      </c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</row>
    <row r="33" hidden="1">
      <c r="A33" s="53"/>
      <c r="B33" s="21" t="s">
        <v>110</v>
      </c>
      <c r="C33" s="21" t="s">
        <v>134</v>
      </c>
      <c r="D33" s="21"/>
      <c r="E33" s="21"/>
      <c r="F33" s="23" t="s">
        <v>119</v>
      </c>
      <c r="G33" s="29"/>
      <c r="H33" s="24" t="s">
        <v>119</v>
      </c>
      <c r="I33" s="29"/>
      <c r="J33" s="24" t="s">
        <v>119</v>
      </c>
      <c r="K33" s="29"/>
      <c r="L33" s="24" t="s">
        <v>119</v>
      </c>
      <c r="M33" s="29"/>
      <c r="N33" s="24" t="s">
        <v>119</v>
      </c>
      <c r="O33" s="29"/>
      <c r="P33" s="24" t="s">
        <v>119</v>
      </c>
      <c r="Q33" s="29"/>
      <c r="R33" s="25" t="s">
        <v>119</v>
      </c>
      <c r="S33" s="26"/>
      <c r="T33" s="21" t="s">
        <v>119</v>
      </c>
      <c r="U33" s="26"/>
      <c r="V33" s="26"/>
      <c r="W33" s="26"/>
      <c r="X33" s="21" t="s">
        <v>119</v>
      </c>
      <c r="Y33" s="26"/>
      <c r="Z33" s="26"/>
      <c r="AA33" s="26"/>
      <c r="AB33" s="26"/>
      <c r="AC33" s="21" t="s">
        <v>121</v>
      </c>
      <c r="AD33" s="26"/>
      <c r="AE33" s="26"/>
      <c r="AF33" s="21" t="s">
        <v>119</v>
      </c>
      <c r="AG33" s="26"/>
      <c r="AH33" s="26"/>
      <c r="AI33" s="26"/>
      <c r="AJ33" s="26"/>
      <c r="AK33" s="21" t="s">
        <v>120</v>
      </c>
      <c r="AL33" s="26"/>
      <c r="AM33" s="26"/>
      <c r="AN33" s="26"/>
      <c r="AO33" s="26"/>
      <c r="AP33" s="21" t="s">
        <v>121</v>
      </c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41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42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</row>
    <row r="34">
      <c r="A34" s="56"/>
      <c r="B34" s="21" t="s">
        <v>110</v>
      </c>
      <c r="C34" s="21" t="s">
        <v>135</v>
      </c>
      <c r="D34" s="21"/>
      <c r="E34" s="21"/>
      <c r="F34" s="46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35"/>
      <c r="S34" s="26"/>
      <c r="T34" s="26"/>
      <c r="U34" s="21" t="s">
        <v>119</v>
      </c>
      <c r="V34" s="21" t="s">
        <v>119</v>
      </c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1" t="s">
        <v>120</v>
      </c>
      <c r="AY34" s="21" t="s">
        <v>120</v>
      </c>
      <c r="AZ34" s="26"/>
      <c r="BA34" s="26"/>
      <c r="BB34" s="26"/>
      <c r="BC34" s="26"/>
      <c r="BD34" s="26"/>
      <c r="BE34" s="21" t="s">
        <v>120</v>
      </c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1" t="s">
        <v>110</v>
      </c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6"/>
      <c r="FG34" s="26"/>
      <c r="FH34" s="26"/>
      <c r="FI34" s="51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1" t="s">
        <v>122</v>
      </c>
      <c r="FW34" s="21"/>
      <c r="FX34" s="21"/>
      <c r="FY34" s="21"/>
      <c r="FZ34" s="21"/>
      <c r="GA34" s="26"/>
      <c r="GB34" s="26"/>
      <c r="GC34" s="26"/>
      <c r="GD34" s="26"/>
      <c r="GE34" s="26"/>
      <c r="GF34" s="26"/>
      <c r="GG34" s="26"/>
      <c r="GH34" s="26"/>
      <c r="GI34" s="26"/>
      <c r="GJ34" s="26"/>
      <c r="GK34" s="26"/>
      <c r="GL34" s="26"/>
      <c r="GM34" s="26"/>
      <c r="GN34" s="26"/>
      <c r="GO34" s="26"/>
      <c r="GP34" s="26"/>
      <c r="GQ34" s="26"/>
      <c r="GR34" s="26"/>
      <c r="GS34" s="26"/>
      <c r="GT34" s="26"/>
      <c r="GU34" s="26"/>
      <c r="GV34" s="40"/>
      <c r="GW34" s="26"/>
      <c r="GX34" s="26"/>
      <c r="GY34" s="26"/>
      <c r="GZ34" s="26"/>
      <c r="HA34" s="26"/>
      <c r="HB34" s="26"/>
      <c r="HC34" s="26"/>
      <c r="HD34" s="26"/>
      <c r="HE34" s="26"/>
      <c r="HF34" s="26"/>
      <c r="HG34" s="26"/>
      <c r="HH34" s="26"/>
      <c r="HI34" s="26"/>
      <c r="HJ34" s="26"/>
      <c r="HK34" s="26"/>
      <c r="HL34" s="26"/>
      <c r="HM34" s="26"/>
      <c r="HN34" s="26"/>
      <c r="HO34" s="26"/>
      <c r="HP34" s="26"/>
      <c r="HQ34" s="26"/>
      <c r="HR34" s="26"/>
      <c r="HS34" s="26"/>
      <c r="HT34" s="40"/>
    </row>
    <row r="35" hidden="1">
      <c r="A35" s="14"/>
      <c r="B35" s="4" t="s">
        <v>92</v>
      </c>
      <c r="C35" s="4" t="s">
        <v>136</v>
      </c>
      <c r="D35" s="4" t="s">
        <v>137</v>
      </c>
      <c r="E35" s="4"/>
      <c r="F35" s="5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7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4" t="s">
        <v>138</v>
      </c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</row>
    <row r="36">
      <c r="A36" s="14"/>
      <c r="B36" s="3"/>
      <c r="C36" s="3"/>
      <c r="D36" s="2" t="s">
        <v>139</v>
      </c>
      <c r="E36" s="3" t="str">
        <f>IFERROR(__xludf.DUMMYFUNCTION("TEXTJOIN(
  "", "",
  TRUE,
  FILTER(
    $E$6:$E$35,
    E$6:E$35&lt;&gt;"""",
    LOWER(E$6:E$35)&lt;&gt;""gone""
  )
)
"),"5756356703, 4235035635, 4235035202, 2294132656, 4234325911, 4233151647, 4079732377, 4239035279, 9197494595, 8035463304, 4235805933, 4235980525, 7065496109, 4232809993, 9125123546, 9124860547, 8658095289, 2565686231, 7623957264")</f>
        <v>5756356703, 4235035635, 4235035202, 2294132656, 4234325911, 4233151647, 4079732377, 4239035279, 9197494595, 8035463304, 4235805933, 4235980525, 7065496109, 4232809993, 9125123546, 9124860547, 8658095289, 2565686231, 7623957264</v>
      </c>
      <c r="F36" s="3" t="str">
        <f>IFERROR(__xludf.DUMMYFUNCTION("TEXTJOIN(
  "", "",
  TRUE,
  FILTER(
    $E$6:$E$35,
    F$6:F$35&lt;&gt;"""",
    LOWER(F$6:F$35)&lt;&gt;""gone""
  )
)
"),"5756356703, 4235035635, 4235035202, 2294132656, 4234325911, 4079732377, 4239035279, 8035463304, 4235805933, 8658095289")</f>
        <v>5756356703, 4235035635, 4235035202, 2294132656, 4234325911, 4079732377, 4239035279, 8035463304, 4235805933, 8658095289</v>
      </c>
      <c r="G36" s="3" t="str">
        <f>IFERROR(__xludf.DUMMYFUNCTION("TEXTJOIN(
  "", "",
  TRUE,
  FILTER(
    $E$6:$E$35,
    G$6:G$35&lt;&gt;"""",
    LOWER(G$6:G$35)&lt;&gt;""gone""
  )
)
"),"5756356703, 4235035635, 4235035202, 4234325911, 4079732377, 4239035279, 9197494595, 8035463304, 4235805933, 9124860547, 2565686231, 7623957264")</f>
        <v>5756356703, 4235035635, 4235035202, 4234325911, 4079732377, 4239035279, 9197494595, 8035463304, 4235805933, 9124860547, 2565686231, 7623957264</v>
      </c>
      <c r="H36" s="3" t="str">
        <f>IFERROR(__xludf.DUMMYFUNCTION("TEXTJOIN(
  "", "",
  TRUE,
  FILTER(
    $E$6:$E$35,
    H$6:H$35&lt;&gt;"""",
    LOWER(H$6:H$35)&lt;&gt;""gone""
  )
)
"),"5756356703, 4235035635, 4235035202, 2294132656, 4234325911, 4079732377, 4239035279, 4235805933, 8658095289")</f>
        <v>5756356703, 4235035635, 4235035202, 2294132656, 4234325911, 4079732377, 4239035279, 4235805933, 8658095289</v>
      </c>
      <c r="I36" s="3" t="str">
        <f>IFERROR(__xludf.DUMMYFUNCTION("TEXTJOIN(
  "", "",
  TRUE,
  FILTER(
    $E$6:$E$35,
    I$6:I$35&lt;&gt;"""",
    LOWER(I$6:I$35)&lt;&gt;""gone""
  )
)
"),"5756356703, 4235035635, 4235035202, 2294132656, 4079732377, 8035463304, 4235805933, 9124860547, 2565686231, 7623957264")</f>
        <v>5756356703, 4235035635, 4235035202, 2294132656, 4079732377, 8035463304, 4235805933, 9124860547, 2565686231, 7623957264</v>
      </c>
      <c r="J36" s="3" t="str">
        <f>IFERROR(__xludf.DUMMYFUNCTION("TEXTJOIN(
  "", "",
  TRUE,
  FILTER(
    $E$6:$E$35,
    J$6:J$35&lt;&gt;"""",
    LOWER(J$6:J$35)&lt;&gt;""gone""
  )
)
"),"5756356703, 4235035202, 2294132656, 4234325911, 4079732377, 4239035279, 8035463304, 9124860547, 8658095289")</f>
        <v>5756356703, 4235035202, 2294132656, 4234325911, 4079732377, 4239035279, 8035463304, 9124860547, 8658095289</v>
      </c>
      <c r="K36" s="3" t="str">
        <f>IFERROR(__xludf.DUMMYFUNCTION("TEXTJOIN(
  "", "",
  TRUE,
  FILTER(
    $E$6:$E$35,
    K$6:K$35&lt;&gt;"""",
    LOWER(K$6:K$35)&lt;&gt;""gone""
  )
)
"),"5756356703, 4235035635, 4235035202, 4234325911, 4079732377, 4239035279, 9197494595, 8035463304, 7623957264")</f>
        <v>5756356703, 4235035635, 4235035202, 4234325911, 4079732377, 4239035279, 9197494595, 8035463304, 7623957264</v>
      </c>
      <c r="L36" s="3" t="str">
        <f>IFERROR(__xludf.DUMMYFUNCTION("TEXTJOIN(
  "", "",
  TRUE,
  FILTER(
    $E$6:$E$35,
    L$6:L$35&lt;&gt;"""",
    LOWER(L$6:L$35)&lt;&gt;""gone""
  )
)
"),"5756356703, 4235035635, 4235035202, 4079732377, 4239035279, 9197494595, 8035463304, 4235805933, 9124860547")</f>
        <v>5756356703, 4235035635, 4235035202, 4079732377, 4239035279, 9197494595, 8035463304, 4235805933, 9124860547</v>
      </c>
      <c r="M36" s="3" t="str">
        <f>IFERROR(__xludf.DUMMYFUNCTION("TEXTJOIN(
  "", "",
  TRUE,
  FILTER(
    $E$6:$E$35,
    M$6:M$35&lt;&gt;"""",
    LOWER(M$6:M$35)&lt;&gt;""gone""
  )
)
"),"5756356703, 4235035635, 4235035202, 2294132656, 4234325911, 4239035279, 8035463304, 4235805933, 9124860547, 8658095289")</f>
        <v>5756356703, 4235035635, 4235035202, 2294132656, 4234325911, 4239035279, 8035463304, 4235805933, 9124860547, 8658095289</v>
      </c>
      <c r="N36" s="3" t="str">
        <f>IFERROR(__xludf.DUMMYFUNCTION("TEXTJOIN(
  "", "",
  TRUE,
  FILTER(
    $E$6:$E$35,
    N$6:N$35&lt;&gt;"""",
    LOWER(N$6:N$35)&lt;&gt;""gone""
  )
)
"),"5756356703, 4235035635, 4235035202, 2294132656, 4234325911, 4079732377, 4239035279, 8035463304, 4235805933, 2565686231")</f>
        <v>5756356703, 4235035635, 4235035202, 2294132656, 4234325911, 4079732377, 4239035279, 8035463304, 4235805933, 2565686231</v>
      </c>
      <c r="O36" s="3" t="str">
        <f>IFERROR(__xludf.DUMMYFUNCTION("TEXTJOIN(
  "", "",
  TRUE,
  FILTER(
    $E$6:$E$35,
    O$6:O$35&lt;&gt;"""",
    LOWER(O$6:O$35)&lt;&gt;""gone""
  )
)
"),"5756356703, 4235035202, 4079732377, 4239035279, 9197494595, 4235805933, 9124860547, 8658095289, 7623957264")</f>
        <v>5756356703, 4235035202, 4079732377, 4239035279, 9197494595, 4235805933, 9124860547, 8658095289, 7623957264</v>
      </c>
      <c r="P36" s="3" t="str">
        <f>IFERROR(__xludf.DUMMYFUNCTION("TEXTJOIN(
  "", "",
  TRUE,
  FILTER(
    $E$6:$E$35,
    P$6:P$35&lt;&gt;"""",
    LOWER(P$6:P$35)&lt;&gt;""gone""
  )
)
"),"5756356703, 4235035635, 4235035202, 2294132656, 4079732377, 8035463304, 4235805933")</f>
        <v>5756356703, 4235035635, 4235035202, 2294132656, 4079732377, 8035463304, 4235805933</v>
      </c>
      <c r="Q36" s="3" t="str">
        <f>IFERROR(__xludf.DUMMYFUNCTION("TEXTJOIN(
  "", "",
  TRUE,
  FILTER(
    $E$6:$E$35,
    Q$6:Q$35&lt;&gt;"""",
    LOWER(Q$6:Q$35)&lt;&gt;""gone""
  )
)
"),"5756356703, 4235035635, 4235035202, 4234325911, 4079732377, 4239035279, 9197494595, 4235805933")</f>
        <v>5756356703, 4235035635, 4235035202, 4234325911, 4079732377, 4239035279, 9197494595, 4235805933</v>
      </c>
      <c r="R36" s="3" t="str">
        <f>IFERROR(__xludf.DUMMYFUNCTION("TEXTJOIN(
  "", "",
  TRUE,
  FILTER(
    $E$6:$E$35,
    R$6:R$35&lt;&gt;"""",
    LOWER(R$6:R$35)&lt;&gt;""gone""
  )
)
"),"5756356703, 4235035635, 4235035202, 2294132656, 4234325911, 4239035279, 8035463304, 4235805933")</f>
        <v>5756356703, 4235035635, 4235035202, 2294132656, 4234325911, 4239035279, 8035463304, 4235805933</v>
      </c>
      <c r="S36" s="3" t="str">
        <f>IFERROR(__xludf.DUMMYFUNCTION("TEXTJOIN(
  "", "",
  TRUE,
  FILTER(
    $E$6:$E$35,
    S$6:S$35&lt;&gt;"""",
    LOWER(S$6:S$35)&lt;&gt;""gone""
  )
)
"),"4235035635, 4235035202, 4234325911, 4239035279, 9197494595, 8035463304, 4235805933, 7623957264")</f>
        <v>4235035635, 4235035202, 4234325911, 4239035279, 9197494595, 8035463304, 4235805933, 7623957264</v>
      </c>
      <c r="T36" s="3" t="str">
        <f>IFERROR(__xludf.DUMMYFUNCTION("TEXTJOIN(
  "", "",
  TRUE,
  FILTER(
    $E$6:$E$35,
    T$6:T$35&lt;&gt;"""",
    LOWER(T$6:T$35)&lt;&gt;""gone""
  )
)
"),"5756356703, 4235035635, 4235035202, 4234325911, 4079732377, 4239035279, 8035463304, 4235805933, 2565686231")</f>
        <v>5756356703, 4235035635, 4235035202, 4234325911, 4079732377, 4239035279, 8035463304, 4235805933, 2565686231</v>
      </c>
      <c r="U36" s="3" t="str">
        <f>IFERROR(__xludf.DUMMYFUNCTION("TEXTJOIN(
  "", "",
  TRUE,
  FILTER(
    $E$6:$E$35,
    U$6:U$35&lt;&gt;"""",
    LOWER(U$6:U$35)&lt;&gt;""gone""
  )
)
"),"5756356703, 4235035202, 4234325911, 8035463304, 4235805933")</f>
        <v>5756356703, 4235035202, 4234325911, 8035463304, 4235805933</v>
      </c>
      <c r="V36" s="3" t="str">
        <f>IFERROR(__xludf.DUMMYFUNCTION("TEXTJOIN(
  "", "",
  TRUE,
  FILTER(
    $E$6:$E$35,
    V$6:V$35&lt;&gt;"""",
    LOWER(V$6:V$35)&lt;&gt;""gone""
  )
)
"),"5756356703, 4235035635, 4235035202, 4234325911, 4079732377, 4239035279, 9197494595, 8035463304, 4235805933")</f>
        <v>5756356703, 4235035635, 4235035202, 4234325911, 4079732377, 4239035279, 9197494595, 8035463304, 4235805933</v>
      </c>
      <c r="W36" s="3" t="str">
        <f>IFERROR(__xludf.DUMMYFUNCTION("TEXTJOIN(
  "", "",
  TRUE,
  FILTER(
    $E$6:$E$35,
    W$6:W$35&lt;&gt;"""",
    LOWER(W$6:W$35)&lt;&gt;""gone""
  )
)
"),"5756356703, 4235035635, 4235035202, 2294132656, 4234325911, 4079732377, 4239035279, 8035463304, 4235805933, 9124860547, 2565686231")</f>
        <v>5756356703, 4235035635, 4235035202, 2294132656, 4234325911, 4079732377, 4239035279, 8035463304, 4235805933, 9124860547, 2565686231</v>
      </c>
      <c r="X36" s="3" t="str">
        <f>IFERROR(__xludf.DUMMYFUNCTION("TEXTJOIN(
  "", "",
  TRUE,
  FILTER(
    $E$6:$E$35,
    X$6:X$35&lt;&gt;"""",
    LOWER(X$6:X$35)&lt;&gt;""gone""
  )
)
"),"5756356703, 4235035635, 4235035202, 4234325911, 4079732377, 4239035279, 9197494595, 8035463304, 4235805933, 9124860547")</f>
        <v>5756356703, 4235035635, 4235035202, 4234325911, 4079732377, 4239035279, 9197494595, 8035463304, 4235805933, 9124860547</v>
      </c>
      <c r="Y36" s="3" t="str">
        <f>IFERROR(__xludf.DUMMYFUNCTION("TEXTJOIN(
  "", "",
  TRUE,
  FILTER(
    $E$6:$E$35,
    Y$6:Y$35&lt;&gt;"""",
    LOWER(Y$6:Y$35)&lt;&gt;""gone""
  )
)
"),"5756356703, 4235035635, 4235035202, 2294132656, 4234325911, 4233151647, 4079732377, 4239035279, 8035463304, 4235805933, 9124860547, 8658095289")</f>
        <v>5756356703, 4235035635, 4235035202, 2294132656, 4234325911, 4233151647, 4079732377, 4239035279, 8035463304, 4235805933, 9124860547, 8658095289</v>
      </c>
      <c r="Z36" s="3" t="str">
        <f>IFERROR(__xludf.DUMMYFUNCTION("TEXTJOIN(
  "", "",
  TRUE,
  FILTER(
    $E$6:$E$35,
    Z$6:Z$35&lt;&gt;"""",
    LOWER(Z$6:Z$35)&lt;&gt;""gone""
  )
)
"),"5756356703, 4235035635, 4235035202, 4234325911, 4079732377, 4239035279, 9197494595, 8035463304, 9124860547, 2565686231")</f>
        <v>5756356703, 4235035635, 4235035202, 4234325911, 4079732377, 4239035279, 9197494595, 8035463304, 9124860547, 2565686231</v>
      </c>
      <c r="AA36" s="3" t="str">
        <f>IFERROR(__xludf.DUMMYFUNCTION("TEXTJOIN(
  "", "",
  TRUE,
  FILTER(
    $E$6:$E$35,
    AA$6:AA$35&lt;&gt;"""",
    LOWER(AA$6:AA$35)&lt;&gt;""gone""
  )
)
"),"5756356703, 4235035635, 4235035202, 2294132656, 4079732377, 4239035279, 8035463304, 4235805933, 9124860547")</f>
        <v>5756356703, 4235035635, 4235035202, 2294132656, 4079732377, 4239035279, 8035463304, 4235805933, 9124860547</v>
      </c>
      <c r="AB36" s="3" t="str">
        <f>IFERROR(__xludf.DUMMYFUNCTION("TEXTJOIN(
  "", "",
  TRUE,
  FILTER(
    $E$6:$E$35,
    AB$6:AB$35&lt;&gt;"""",
    LOWER(AB$6:AB$35)&lt;&gt;""gone""
  )
)
"),"5756356703, 4235035635, 4235035202, 4234325911, 4079732377, 4239035279, 9197494595, 8035463304, 4235805933, 9124860547, 2565686231")</f>
        <v>5756356703, 4235035635, 4235035202, 4234325911, 4079732377, 4239035279, 9197494595, 8035463304, 4235805933, 9124860547, 2565686231</v>
      </c>
      <c r="AC36" s="3" t="str">
        <f>IFERROR(__xludf.DUMMYFUNCTION("TEXTJOIN(
  "", "",
  TRUE,
  FILTER(
    $E$6:$E$35,
    AC$6:AC$35&lt;&gt;"""",
    LOWER(AC$6:AC$35)&lt;&gt;""gone""
  )
)
"),"5756356703, 4235035635, 4235035202, 2294132656, 4234325911, 4079732377, 4239035279, 8035463304, 9124860547, 8658095289")</f>
        <v>5756356703, 4235035635, 4235035202, 2294132656, 4234325911, 4079732377, 4239035279, 8035463304, 9124860547, 8658095289</v>
      </c>
      <c r="AD36" s="3" t="str">
        <f>IFERROR(__xludf.DUMMYFUNCTION("TEXTJOIN(
  "", "",
  TRUE,
  FILTER(
    $E$6:$E$35,
    AD$6:AD$35&lt;&gt;"""",
    LOWER(AD$6:AD$35)&lt;&gt;""gone""
  )
)
"),"5756356703, 4235035635, 4235035202, 4234325911, 4233151647, 4239035279, 8035463304, 4235805933, 9124860547, 8658095289")</f>
        <v>5756356703, 4235035635, 4235035202, 4234325911, 4233151647, 4239035279, 8035463304, 4235805933, 9124860547, 8658095289</v>
      </c>
      <c r="AE36" s="3" t="str">
        <f>IFERROR(__xludf.DUMMYFUNCTION("TEXTJOIN(
  "", "",
  TRUE,
  FILTER(
    $E$6:$E$35,
    AE$6:AE$35&lt;&gt;"""",
    LOWER(AE$6:AE$35)&lt;&gt;""gone""
  )
)
"),"5756356703, 4235035635, 4235035202, 2294132656, 4079732377, 4239035279, 8035463304, 4235805933, 7623957264")</f>
        <v>5756356703, 4235035635, 4235035202, 2294132656, 4079732377, 4239035279, 8035463304, 4235805933, 7623957264</v>
      </c>
      <c r="AF36" s="3" t="str">
        <f>IFERROR(__xludf.DUMMYFUNCTION("TEXTJOIN(
  "", "",
  TRUE,
  FILTER(
    $E$6:$E$35,
    AF$6:AF$35&lt;&gt;"""",
    LOWER(AF$6:AF$35)&lt;&gt;""gone""
  )
)
"),"5756356703, 4235035635, 4235035202, 4234325911, 4079732377, 4239035279, 9197494595, 8035463304, 8658095289")</f>
        <v>5756356703, 4235035635, 4235035202, 4234325911, 4079732377, 4239035279, 9197494595, 8035463304, 8658095289</v>
      </c>
      <c r="AG36" s="3" t="str">
        <f>IFERROR(__xludf.DUMMYFUNCTION("TEXTJOIN(
  "", "",
  TRUE,
  FILTER(
    $E$6:$E$35,
    AG$6:AG$35&lt;&gt;"""",
    LOWER(AG$6:AG$35)&lt;&gt;""gone""
  )
)
"),"5756356703, 4235035635, 4235035202, 2294132656, 4234325911, 4079732377, 4239035279, 8035463304, 4235805933, 9124860547, 2565686231")</f>
        <v>5756356703, 4235035635, 4235035202, 2294132656, 4234325911, 4079732377, 4239035279, 8035463304, 4235805933, 9124860547, 2565686231</v>
      </c>
      <c r="AH36" s="3" t="str">
        <f>IFERROR(__xludf.DUMMYFUNCTION("TEXTJOIN(
  "", "",
  TRUE,
  FILTER(
    $E$6:$E$35,
    AH$6:AH$35&lt;&gt;"""",
    LOWER(AH$6:AH$35)&lt;&gt;""gone""
  )
)
"),"5756356703, 4235035635, 4235035202, 4234325911, 4233151647, 4079732377, 4239035279, 9197494595, 8035463304, 4235805933, 9124860547, 2565686231")</f>
        <v>5756356703, 4235035635, 4235035202, 4234325911, 4233151647, 4079732377, 4239035279, 9197494595, 8035463304, 4235805933, 9124860547, 2565686231</v>
      </c>
      <c r="AI36" s="3" t="str">
        <f>IFERROR(__xludf.DUMMYFUNCTION("TEXTJOIN(
  "", "",
  TRUE,
  FILTER(
    $E$6:$E$35,
    AI$6:AI$35&lt;&gt;"""",
    LOWER(AI$6:AI$35)&lt;&gt;""gone""
  )
)
"),"5756356703, 4235035635, 4235035202, 2294132656, 4079732377, 4239035279, 8035463304, 9124860547, 7623957264")</f>
        <v>5756356703, 4235035635, 4235035202, 2294132656, 4079732377, 4239035279, 8035463304, 9124860547, 7623957264</v>
      </c>
      <c r="AJ36" s="3" t="str">
        <f>IFERROR(__xludf.DUMMYFUNCTION("TEXTJOIN(
  "", "",
  TRUE,
  FILTER(
    $E$6:$E$35,
    AJ$6:AJ$35&lt;&gt;"""",
    LOWER(AJ$6:AJ$35)&lt;&gt;""gone""
  )
)
"),"5756356703, 4235035635, 4235035202, 2294132656, 4234325911, 4079732377, 8035463304, 4235805933, 8658095289")</f>
        <v>5756356703, 4235035635, 4235035202, 2294132656, 4234325911, 4079732377, 8035463304, 4235805933, 8658095289</v>
      </c>
      <c r="AK36" s="3" t="str">
        <f>IFERROR(__xludf.DUMMYFUNCTION("TEXTJOIN(
  "", "",
  TRUE,
  FILTER(
    $E$6:$E$35,
    AK$6:AK$35&lt;&gt;"""",
    LOWER(AK$6:AK$35)&lt;&gt;""gone""
  )
)
"),"5756356703, 4235035635, 4235035202, 2294132656, 4234325911, 4079732377, 4239035279, 8035463304, 4235805933, 9124860547")</f>
        <v>5756356703, 4235035635, 4235035202, 2294132656, 4234325911, 4079732377, 4239035279, 8035463304, 4235805933, 9124860547</v>
      </c>
      <c r="AL36" s="3" t="str">
        <f>IFERROR(__xludf.DUMMYFUNCTION("TEXTJOIN(
  "", "",
  TRUE,
  FILTER(
    $E$6:$E$35,
    AL$6:AL$35&lt;&gt;"""",
    LOWER(AL$6:AL$35)&lt;&gt;""gone""
  )
)
"),"5756356703, 4235035635, 4235035202, 4234325911, 4233151647, 4079732377, 4239035279, 9197494595, 8035463304, 4235805933, 9124860547, 2565686231")</f>
        <v>5756356703, 4235035635, 4235035202, 4234325911, 4233151647, 4079732377, 4239035279, 9197494595, 8035463304, 4235805933, 9124860547, 2565686231</v>
      </c>
      <c r="AM36" s="3" t="str">
        <f>IFERROR(__xludf.DUMMYFUNCTION("TEXTJOIN(
  "", "",
  TRUE,
  FILTER(
    $E$6:$E$35,
    AM$6:AM$35&lt;&gt;"""",
    LOWER(AM$6:AM$35)&lt;&gt;""gone""
  )
)
"),"4233151647, 4079732377, 4239035279, 4235805933, 7623957264")</f>
        <v>4233151647, 4079732377, 4239035279, 4235805933, 7623957264</v>
      </c>
      <c r="AN36" s="3" t="str">
        <f>IFERROR(__xludf.DUMMYFUNCTION("TEXTJOIN(
  "", "",
  TRUE,
  FILTER(
    $E$6:$E$35,
    AN$6:AN$35&lt;&gt;"""",
    LOWER(AN$6:AN$35)&lt;&gt;""gone""
  )
)
"),"5756356703, 4235035635, 4235035202, 2294132656, 4079732377, 8035463304, 4235805933, 8658095289")</f>
        <v>5756356703, 4235035635, 4235035202, 2294132656, 4079732377, 8035463304, 4235805933, 8658095289</v>
      </c>
      <c r="AO36" s="3" t="str">
        <f>IFERROR(__xludf.DUMMYFUNCTION("TEXTJOIN(
  "", "",
  TRUE,
  FILTER(
    $E$6:$E$35,
    AO$6:AO$35&lt;&gt;"""",
    LOWER(AO$6:AO$35)&lt;&gt;""gone""
  )
)
"),"4235035635, 4235035202, 4079732377, 4239035279, 9197494595, 8035463304, 4235805933, 2565686231")</f>
        <v>4235035635, 4235035202, 4079732377, 4239035279, 9197494595, 8035463304, 4235805933, 2565686231</v>
      </c>
      <c r="AP36" s="3" t="str">
        <f>IFERROR(__xludf.DUMMYFUNCTION("TEXTJOIN(
  "", "",
  TRUE,
  FILTER(
    $E$6:$E$35,
    AP$6:AP$35&lt;&gt;"""",
    LOWER(AP$6:AP$35)&lt;&gt;""gone""
  )
)
"),"4235035635, 4235035202, 2294132656, 4079732377, 4239035279, 8035463304, 4235805933")</f>
        <v>4235035635, 4235035202, 2294132656, 4079732377, 4239035279, 8035463304, 4235805933</v>
      </c>
      <c r="AQ36" s="3" t="str">
        <f>IFERROR(__xludf.DUMMYFUNCTION("TEXTJOIN(
  "", "",
  TRUE,
  FILTER(
    $E$6:$E$35,
    AQ$6:AQ$35&lt;&gt;"""",
    LOWER(AQ$6:AQ$35)&lt;&gt;""gone""
  )
)
"),"4235035635, 4235035202, 4233151647, 4079732377, 4239035279, 9197494595, 4235805933, 7623957264")</f>
        <v>4235035635, 4235035202, 4233151647, 4079732377, 4239035279, 9197494595, 4235805933, 7623957264</v>
      </c>
      <c r="AR36" s="3" t="str">
        <f>IFERROR(__xludf.DUMMYFUNCTION("TEXTJOIN(
  "", "",
  TRUE,
  FILTER(
    $E$6:$E$35,
    AR$6:AR$35&lt;&gt;"""",
    LOWER(AR$6:AR$35)&lt;&gt;""gone""
  )
)
"),"5756356703, 4235035635, 4235035202, 2294132656, 4239035279, 8035463304, 4235805933, 7623957264")</f>
        <v>5756356703, 4235035635, 4235035202, 2294132656, 4239035279, 8035463304, 4235805933, 7623957264</v>
      </c>
      <c r="AS36" s="3" t="str">
        <f>IFERROR(__xludf.DUMMYFUNCTION("TEXTJOIN(
  "", "",
  TRUE,
  FILTER(
    $E$6:$E$35,
    AS$6:AS$35&lt;&gt;"""",
    LOWER(AS$6:AS$35)&lt;&gt;""gone""
  )
)
"),"4235035635, 4079732377, 4239035279, 9197494595, 8035463304, 4235805933, 2565686231")</f>
        <v>4235035635, 4079732377, 4239035279, 9197494595, 8035463304, 4235805933, 2565686231</v>
      </c>
      <c r="AT36" s="3" t="str">
        <f>IFERROR(__xludf.DUMMYFUNCTION("TEXTJOIN(
  "", "",
  TRUE,
  FILTER(
    $E$6:$E$35,
    AT$6:AT$35&lt;&gt;"""",
    LOWER(AT$6:AT$35)&lt;&gt;""gone""
  )
)
"),"4235035635, 4235035202, 2294132656, 4079732377, 4239035279, 4235805933, 8658095289")</f>
        <v>4235035635, 4235035202, 2294132656, 4079732377, 4239035279, 4235805933, 8658095289</v>
      </c>
      <c r="AU36" s="3" t="str">
        <f>IFERROR(__xludf.DUMMYFUNCTION("TEXTJOIN(
  "", "",
  TRUE,
  FILTER(
    $E$6:$E$35,
    AU$6:AU$35&lt;&gt;"""",
    LOWER(AU$6:AU$35)&lt;&gt;""gone""
  )
)
"),"4235035635, 4235035202, 4234325911, 4233151647, 4239035279, 9197494595, 8035463304, 4235805933, 7623957264")</f>
        <v>4235035635, 4235035202, 4234325911, 4233151647, 4239035279, 9197494595, 8035463304, 4235805933, 7623957264</v>
      </c>
      <c r="AV36" s="3" t="str">
        <f>IFERROR(__xludf.DUMMYFUNCTION("TEXTJOIN(
  "", "",
  TRUE,
  FILTER(
    $E$6:$E$35,
    AV$6:AV$35&lt;&gt;"""",
    LOWER(AV$6:AV$35)&lt;&gt;""gone""
  )
)
"),"4235035635, 4235035202, 2294132656, 4239035279, 8035463304, 4235805933, 7623957264")</f>
        <v>4235035635, 4235035202, 2294132656, 4239035279, 8035463304, 4235805933, 7623957264</v>
      </c>
      <c r="AW36" s="3" t="str">
        <f>IFERROR(__xludf.DUMMYFUNCTION("TEXTJOIN(
  "", "",
  TRUE,
  FILTER(
    $E$6:$E$35,
    AW$6:AW$35&lt;&gt;"""",
    LOWER(AW$6:AW$35)&lt;&gt;""gone""
  )
)
"),"5756356703, 4235035635, 4235035202, 4234325911, 4239035279, 9197494595, 8035463304, 4235805933, 8658095289, 2565686231")</f>
        <v>5756356703, 4235035635, 4235035202, 4234325911, 4239035279, 9197494595, 8035463304, 4235805933, 8658095289, 2565686231</v>
      </c>
      <c r="AX36" s="3" t="str">
        <f>IFERROR(__xludf.DUMMYFUNCTION("TEXTJOIN(
  "", "",
  TRUE,
  FILTER(
    $E$6:$E$35,
    AX$6:AX$35&lt;&gt;"""",
    LOWER(AX$6:AX$35)&lt;&gt;""gone""
  )
)
"),"4235035635, 4235035202, 2294132656, 4234325911, 4079732377, 4239035279, 8035463304")</f>
        <v>4235035635, 4235035202, 2294132656, 4234325911, 4079732377, 4239035279, 8035463304</v>
      </c>
      <c r="AY36" s="3" t="str">
        <f>IFERROR(__xludf.DUMMYFUNCTION("TEXTJOIN(
  "", "",
  TRUE,
  FILTER(
    $E$6:$E$35,
    AY$6:AY$35&lt;&gt;"""",
    LOWER(AY$6:AY$35)&lt;&gt;""gone""
  )
)
"),"4235035635, 4234325911, 4233151647, 4079732377, 4239035279, 9197494595, 8035463304")</f>
        <v>4235035635, 4234325911, 4233151647, 4079732377, 4239035279, 9197494595, 8035463304</v>
      </c>
      <c r="AZ36" s="3" t="str">
        <f>IFERROR(__xludf.DUMMYFUNCTION("TEXTJOIN(
  "", "",
  TRUE,
  FILTER(
    $E$6:$E$35,
    AZ$6:AZ$35&lt;&gt;"""",
    LOWER(AZ$6:AZ$35)&lt;&gt;""gone""
  )
)
"),"4235035635, 4235035202, 2294132656, 4079732377, 8035463304, 4235805933, 7623957264")</f>
        <v>4235035635, 4235035202, 2294132656, 4079732377, 8035463304, 4235805933, 7623957264</v>
      </c>
      <c r="BA36" s="3" t="str">
        <f>IFERROR(__xludf.DUMMYFUNCTION("TEXTJOIN(
  "", "",
  TRUE,
  FILTER(
    $E$6:$E$35,
    BA$6:BA$35&lt;&gt;"""",
    LOWER(BA$6:BA$35)&lt;&gt;""gone""
  )
)
"),"5756356703, 4235035635, 4235035202, 2294132656, 4239035279, 8035463304, 4235805933, 8658095289")</f>
        <v>5756356703, 4235035635, 4235035202, 2294132656, 4239035279, 8035463304, 4235805933, 8658095289</v>
      </c>
      <c r="BB36" s="3" t="str">
        <f>IFERROR(__xludf.DUMMYFUNCTION("TEXTJOIN(
  "", "",
  TRUE,
  FILTER(
    $E$6:$E$35,
    BB$6:BB$35&lt;&gt;"""",
    LOWER(BB$6:BB$35)&lt;&gt;""gone""
  )
)
"),"4235035635, 4235035202, 4234325911, 9197494595, 4235805933, 7623957264")</f>
        <v>4235035635, 4235035202, 4234325911, 9197494595, 4235805933, 7623957264</v>
      </c>
      <c r="BC36" s="3" t="str">
        <f>IFERROR(__xludf.DUMMYFUNCTION("TEXTJOIN(
  "", "",
  TRUE,
  FILTER(
    $E$6:$E$35,
    BC$6:BC$35&lt;&gt;"""",
    LOWER(BC$6:BC$35)&lt;&gt;""gone""
  )
)
"),"5756356703, 4235035635, 4235035202, 2294132656, 4234325911, 8035463304, 4235805933, 2565686231")</f>
        <v>5756356703, 4235035635, 4235035202, 2294132656, 4234325911, 8035463304, 4235805933, 2565686231</v>
      </c>
      <c r="BD36" s="3" t="str">
        <f>IFERROR(__xludf.DUMMYFUNCTION("TEXTJOIN(
  "", "",
  TRUE,
  FILTER(
    $E$6:$E$35,
    BD$6:BD$35&lt;&gt;"""",
    LOWER(BD$6:BD$35)&lt;&gt;""gone""
  )
)
"),"4235035635, 4235035202, 4234325911, 4233151647, 4239035279, 9197494595, 8035463304, 4235805933, 9124860547, 7623957264")</f>
        <v>4235035635, 4235035202, 4234325911, 4233151647, 4239035279, 9197494595, 8035463304, 4235805933, 9124860547, 7623957264</v>
      </c>
      <c r="BE36" s="3" t="str">
        <f>IFERROR(__xludf.DUMMYFUNCTION("TEXTJOIN(
  "", "",
  TRUE,
  FILTER(
    $E$6:$E$35,
    BE$6:BE$35&lt;&gt;"""",
    LOWER(BE$6:BE$35)&lt;&gt;""gone""
  )
)
"),"4235035202, 2294132656, 4079732377")</f>
        <v>4235035202, 2294132656, 4079732377</v>
      </c>
      <c r="BF36" s="3" t="str">
        <f>IFERROR(__xludf.DUMMYFUNCTION("TEXTJOIN(
  "", "",
  TRUE,
  FILTER(
    $E$6:$E$35,
    BF$6:BF$35&lt;&gt;"""",
    LOWER(BF$6:BF$35)&lt;&gt;""gone""
  )
)
"),"5756356703, 4235035202, 2294132656, 4234325911, 4235805933, 8658095289")</f>
        <v>5756356703, 4235035202, 2294132656, 4234325911, 4235805933, 8658095289</v>
      </c>
      <c r="BG36" s="3" t="str">
        <f>IFERROR(__xludf.DUMMYFUNCTION("TEXTJOIN(
  "", "",
  TRUE,
  FILTER(
    $E$6:$E$35,
    BG$6:BG$35&lt;&gt;"""",
    LOWER(BG$6:BG$35)&lt;&gt;""gone""
  )
)
"),"4235035202, 2294132656, 4234325911, 4079732377, 4235805933, 2565686231")</f>
        <v>4235035202, 2294132656, 4234325911, 4079732377, 4235805933, 2565686231</v>
      </c>
      <c r="BH36" s="3" t="str">
        <f>IFERROR(__xludf.DUMMYFUNCTION("TEXTJOIN(
  "", "",
  TRUE,
  FILTER(
    $E$6:$E$35,
    BH$6:BH$35&lt;&gt;"""",
    LOWER(BH$6:BH$35)&lt;&gt;""gone""
  )
)
"),"4235035202, 2294132656, 4234325911, 4079732377, 4235805933, 7623957264")</f>
        <v>4235035202, 2294132656, 4234325911, 4079732377, 4235805933, 7623957264</v>
      </c>
      <c r="BI36" s="3" t="str">
        <f>IFERROR(__xludf.DUMMYFUNCTION("TEXTJOIN(
  "", "",
  TRUE,
  FILTER(
    $E$6:$E$35,
    BI$6:BI$35&lt;&gt;"""",
    LOWER(BI$6:BI$35)&lt;&gt;""gone""
  )
)
"),"4235035202, 2294132656, 4234325911, 4233151647, 9197494595, 8658095289")</f>
        <v>4235035202, 2294132656, 4234325911, 4233151647, 9197494595, 8658095289</v>
      </c>
      <c r="BJ36" s="3" t="str">
        <f>IFERROR(__xludf.DUMMYFUNCTION("TEXTJOIN(
  "", "",
  TRUE,
  FILTER(
    $E$6:$E$35,
    BJ$6:BJ$35&lt;&gt;"""",
    LOWER(BJ$6:BJ$35)&lt;&gt;""gone""
  )
)
"),"5756356703, 4235035202, 4234325911, 9197494595, 2565686231")</f>
        <v>5756356703, 4235035202, 4234325911, 9197494595, 2565686231</v>
      </c>
      <c r="BK36" s="3" t="str">
        <f>IFERROR(__xludf.DUMMYFUNCTION("TEXTJOIN(
  "", "",
  TRUE,
  FILTER(
    $E$6:$E$35,
    BK$6:BK$35&lt;&gt;"""",
    LOWER(BK$6:BK$35)&lt;&gt;""gone""
  )
)
"),"4235035202, 4235805933, 7623957264")</f>
        <v>4235035202, 4235805933, 7623957264</v>
      </c>
      <c r="BL36" s="3" t="str">
        <f>IFERROR(__xludf.DUMMYFUNCTION("TEXTJOIN(
  "", "",
  TRUE,
  FILTER(
    $E$6:$E$35,
    BL$6:BL$35&lt;&gt;"""",
    LOWER(BL$6:BL$35)&lt;&gt;""gone""
  )
)
"),"4235035202, 4234325911, 4235805933, 7623957264")</f>
        <v>4235035202, 4234325911, 4235805933, 7623957264</v>
      </c>
      <c r="BM36" s="3" t="str">
        <f>IFERROR(__xludf.DUMMYFUNCTION("TEXTJOIN(
  "", "",
  TRUE,
  FILTER(
    $E$6:$E$35,
    BM$6:BM$35&lt;&gt;"""",
    LOWER(BM$6:BM$35)&lt;&gt;""gone""
  )
)
"),"4235035202, 4234325911, 8658095289")</f>
        <v>4235035202, 4234325911, 8658095289</v>
      </c>
      <c r="BN36" s="3" t="str">
        <f>IFERROR(__xludf.DUMMYFUNCTION("TEXTJOIN(
  "", "",
  TRUE,
  FILTER(
    $E$6:$E$35,
    BN$6:BN$35&lt;&gt;"""",
    LOWER(BN$6:BN$35)&lt;&gt;""gone""
  )
)
"),"5756356703, 4235035202, 4235805933")</f>
        <v>5756356703, 4235035202, 4235805933</v>
      </c>
      <c r="BO36" s="3" t="str">
        <f>IFERROR(__xludf.DUMMYFUNCTION("TEXTJOIN(
  "", "",
  TRUE,
  FILTER(
    $E$6:$E$35,
    BO$6:BO$35&lt;&gt;"""",
    LOWER(BO$6:BO$35)&lt;&gt;""gone""
  )
)
"),"4235035202, 4234325911, 8035463304, 9124860547")</f>
        <v>4235035202, 4234325911, 8035463304, 9124860547</v>
      </c>
      <c r="BP36" s="3" t="str">
        <f>IFERROR(__xludf.DUMMYFUNCTION("TEXTJOIN(
  "", "",
  TRUE,
  FILTER(
    $E$6:$E$35,
    BP$6:BP$35&lt;&gt;"""",
    LOWER(BP$6:BP$35)&lt;&gt;""gone""
  )
)
"),"5756356703, 4235035635, 4234325911, 9197494595, 8035463304, 4235805933, 9124860547, 8658095289, 2565686231")</f>
        <v>5756356703, 4235035635, 4234325911, 9197494595, 8035463304, 4235805933, 9124860547, 8658095289, 2565686231</v>
      </c>
      <c r="BQ36" s="3" t="str">
        <f>IFERROR(__xludf.DUMMYFUNCTION("TEXTJOIN(
  "", "",
  TRUE,
  FILTER(
    $E$6:$E$35,
    BQ$6:BQ$35&lt;&gt;"""",
    LOWER(BQ$6:BQ$35)&lt;&gt;""gone""
  )
)
"),"8035463304, 4235805933")</f>
        <v>8035463304, 4235805933</v>
      </c>
      <c r="BR36" s="3" t="str">
        <f>IFERROR(__xludf.DUMMYFUNCTION("TEXTJOIN(
  "", "",
  TRUE,
  FILTER(
    $E$6:$E$35,
    BR$6:BR$35&lt;&gt;"""",
    LOWER(BR$6:BR$35)&lt;&gt;""gone""
  )
)
"),"4234325911, 8035463304, 4235805933")</f>
        <v>4234325911, 8035463304, 4235805933</v>
      </c>
      <c r="BS36" s="3" t="str">
        <f>IFERROR(__xludf.DUMMYFUNCTION("TEXTJOIN(
  "", "",
  TRUE,
  FILTER(
    $E$6:$E$35,
    BS$6:BS$35&lt;&gt;"""",
    LOWER(BS$6:BS$35)&lt;&gt;""gone""
  )
)
"),"4234325911, 8035463304, 4235805933")</f>
        <v>4234325911, 8035463304, 4235805933</v>
      </c>
      <c r="BT36" s="3" t="str">
        <f>IFERROR(__xludf.DUMMYFUNCTION("TEXTJOIN(
  "", "",
  TRUE,
  FILTER(
    $E$6:$E$35,
    BT$6:BT$35&lt;&gt;"""",
    LOWER(BT$6:BT$35)&lt;&gt;""gone""
  )
)
"),"4234325911, 8035463304, 4235805933")</f>
        <v>4234325911, 8035463304, 4235805933</v>
      </c>
      <c r="BU36" s="3" t="str">
        <f>IFERROR(__xludf.DUMMYFUNCTION("TEXTJOIN(
  "", "",
  TRUE,
  FILTER(
    $E$6:$E$35,
    BU$6:BU$35&lt;&gt;"""",
    LOWER(BU$6:BU$35)&lt;&gt;""gone""
  )
)
"),"5756356703, 4234325911, 4235805933")</f>
        <v>5756356703, 4234325911, 4235805933</v>
      </c>
      <c r="BV36" s="3" t="str">
        <f>IFERROR(__xludf.DUMMYFUNCTION("TEXTJOIN(
  "", "",
  TRUE,
  FILTER(
    $E$6:$E$35,
    BV$6:BV$35&lt;&gt;"""",
    LOWER(BV$6:BV$35)&lt;&gt;""gone""
  )
)
"),"4234325911")</f>
        <v>4234325911</v>
      </c>
      <c r="BW36" s="3" t="str">
        <f>IFERROR(__xludf.DUMMYFUNCTION("TEXTJOIN(
  "", "",
  TRUE,
  FILTER(
    $E$6:$E$35,
    BW$6:BW$35&lt;&gt;"""",
    LOWER(BW$6:BW$35)&lt;&gt;""gone""
  )
)
"),"4235805933")</f>
        <v>4235805933</v>
      </c>
      <c r="BX36" s="3" t="str">
        <f>IFERROR(__xludf.DUMMYFUNCTION("TEXTJOIN(
  "", "",
  TRUE,
  FILTER(
    $E$6:$E$35,
    BX$6:BX$35&lt;&gt;"""",
    LOWER(BX$6:BX$35)&lt;&gt;""gone""
  )
)
"),"4235805933")</f>
        <v>4235805933</v>
      </c>
      <c r="BY36" s="3" t="str">
        <f>IFERROR(__xludf.DUMMYFUNCTION("TEXTJOIN(
  "", "",
  TRUE,
  FILTER(
    $E$6:$E$35,
    BY$6:BY$35&lt;&gt;"""",
    LOWER(BY$6:BY$35)&lt;&gt;""gone""
  )
)
"),"4235805933")</f>
        <v>4235805933</v>
      </c>
      <c r="BZ36" s="3" t="str">
        <f>IFERROR(__xludf.DUMMYFUNCTION("TEXTJOIN(
  "", "",
  TRUE,
  FILTER(
    $E$6:$E$35,
    BZ$6:BZ$35&lt;&gt;"""",
    LOWER(BZ$6:BZ$35)&lt;&gt;""gone""
  )
)
"),"4235805933")</f>
        <v>4235805933</v>
      </c>
      <c r="CA36" s="3" t="str">
        <f>IFERROR(__xludf.DUMMYFUNCTION("TEXTJOIN(
  "", "",
  TRUE,
  FILTER(
    $E$6:$E$35,
    CA$6:CA$35&lt;&gt;"""",
    LOWER(CA$6:CA$35)&lt;&gt;""gone""
  )
)
"),"5756356703, 4235805933")</f>
        <v>5756356703, 4235805933</v>
      </c>
      <c r="CB36" s="3" t="str">
        <f>IFERROR(__xludf.DUMMYFUNCTION("TEXTJOIN(
  "", "",
  TRUE,
  FILTER(
    $E$6:$E$35,
    CB$6:CB$35&lt;&gt;"""",
    LOWER(CB$6:CB$35)&lt;&gt;""gone""
  )
)
"),"5756356703, 4235805933")</f>
        <v>5756356703, 4235805933</v>
      </c>
      <c r="CC36" s="3" t="str">
        <f>IFERROR(__xludf.DUMMYFUNCTION("TEXTJOIN(
  "", "",
  TRUE,
  FILTER(
    $E$6:$E$35,
    CC$6:CC$35&lt;&gt;"""",
    LOWER(CC$6:CC$35)&lt;&gt;""gone""
  )
)
"),"#N/A")</f>
        <v>#N/A</v>
      </c>
      <c r="CD36" s="3" t="str">
        <f>IFERROR(__xludf.DUMMYFUNCTION("TEXTJOIN(
  "", "",
  TRUE,
  FILTER(
    $E$6:$E$35,
    CD$6:CD$35&lt;&gt;"""",
    LOWER(CD$6:CD$35)&lt;&gt;""gone""
  )
)
"),"4235805933")</f>
        <v>4235805933</v>
      </c>
      <c r="CE36" s="3" t="str">
        <f>IFERROR(__xludf.DUMMYFUNCTION("TEXTJOIN(
  "", "",
  TRUE,
  FILTER(
    $E$6:$E$35,
    CE$6:CE$35&lt;&gt;"""",
    LOWER(CE$6:CE$35)&lt;&gt;""gone""
  )
)
"),"5756356703, 4235805933")</f>
        <v>5756356703, 4235805933</v>
      </c>
      <c r="CF36" s="3" t="str">
        <f>IFERROR(__xludf.DUMMYFUNCTION("TEXTJOIN(
  "", "",
  TRUE,
  FILTER(
    $E$6:$E$35,
    CF$6:CF$35&lt;&gt;"""",
    LOWER(CF$6:CF$35)&lt;&gt;""gone""
  )
)
"),"5756356703, 4235805933")</f>
        <v>5756356703, 4235805933</v>
      </c>
      <c r="CG36" s="3" t="str">
        <f>IFERROR(__xludf.DUMMYFUNCTION("TEXTJOIN(
  "", "",
  TRUE,
  FILTER(
    $E$6:$E$35,
    CG$6:CG$35&lt;&gt;"""",
    LOWER(CG$6:CG$35)&lt;&gt;""gone""
  )
)
"),"4235035635, 4235035202, 4234325911, 4233151647, 4239035279, 9197494595, 8035463304, 4235805933, 9124860547, 8658095289")</f>
        <v>4235035635, 4235035202, 4234325911, 4233151647, 4239035279, 9197494595, 8035463304, 4235805933, 9124860547, 8658095289</v>
      </c>
      <c r="CH36" s="3" t="str">
        <f>IFERROR(__xludf.DUMMYFUNCTION("TEXTJOIN(
  "", "",
  TRUE,
  FILTER(
    $E$6:$E$35,
    CH$6:CH$35&lt;&gt;"""",
    LOWER(CH$6:CH$35)&lt;&gt;""gone""
  )
)
"),"4235035635, 4235035202, 4079732377, 4239035279, 9197494595, 8035463304, 4235805933, 9124860547, 2565686231")</f>
        <v>4235035635, 4235035202, 4079732377, 4239035279, 9197494595, 8035463304, 4235805933, 9124860547, 2565686231</v>
      </c>
      <c r="CI36" s="3" t="str">
        <f>IFERROR(__xludf.DUMMYFUNCTION("TEXTJOIN(
  "", "",
  TRUE,
  FILTER(
    $E$6:$E$35,
    CI$6:CI$35&lt;&gt;"""",
    LOWER(CI$6:CI$35)&lt;&gt;""gone""
  )
)
"),"5756356703, 4235035635, 4235035202, 2294132656, 4234325911, 4079732377, 4239035279, 4235805933, 7623957264")</f>
        <v>5756356703, 4235035635, 4235035202, 2294132656, 4234325911, 4079732377, 4239035279, 4235805933, 7623957264</v>
      </c>
      <c r="CJ36" s="3" t="str">
        <f>IFERROR(__xludf.DUMMYFUNCTION("TEXTJOIN(
  "", "",
  TRUE,
  FILTER(
    $E$6:$E$35,
    CJ$6:CJ$35&lt;&gt;"""",
    LOWER(CJ$6:CJ$35)&lt;&gt;""gone""
  )
)
"),"5756356703, 4235035635, 4234325911, 4239035279, 9124860547, 2565686231")</f>
        <v>5756356703, 4235035635, 4234325911, 4239035279, 9124860547, 2565686231</v>
      </c>
      <c r="CK36" s="3" t="str">
        <f>IFERROR(__xludf.DUMMYFUNCTION("TEXTJOIN(
  "", "",
  TRUE,
  FILTER(
    $E$6:$E$35,
    CK$6:CK$35&lt;&gt;"""",
    LOWER(CK$6:CK$35)&lt;&gt;""gone""
  )
)
"),"4235035635, 4235035202, 2294132656, 4234325911, 4239035279, 8035463304, 4235805933, 9124860547, 8658095289")</f>
        <v>4235035635, 4235035202, 2294132656, 4234325911, 4239035279, 8035463304, 4235805933, 9124860547, 8658095289</v>
      </c>
      <c r="CL36" s="3" t="str">
        <f>IFERROR(__xludf.DUMMYFUNCTION("TEXTJOIN(
  "", "",
  TRUE,
  FILTER(
    $E$6:$E$35,
    CL$6:CL$35&lt;&gt;"""",
    LOWER(CL$6:CL$35)&lt;&gt;""gone""
  )
)
"),"4235035635, 4235035202, 2294132656, 4234325911, 4079732377, 4239035279, 8035463304, 4235805933, 9124860547, 2565686231")</f>
        <v>4235035635, 4235035202, 2294132656, 4234325911, 4079732377, 4239035279, 8035463304, 4235805933, 9124860547, 2565686231</v>
      </c>
      <c r="CM36" s="3" t="str">
        <f>IFERROR(__xludf.DUMMYFUNCTION("TEXTJOIN(
  "", "",
  TRUE,
  FILTER(
    $E$6:$E$35,
    CM$6:CM$35&lt;&gt;"""",
    LOWER(CM$6:CM$35)&lt;&gt;""gone""
  )
)
"),"4235035635, 4235035202, 4234325911, 4233151647, 4079732377, 4239035279, 9197494595, 8035463304, 4235805933, 9124860547")</f>
        <v>4235035635, 4235035202, 4234325911, 4233151647, 4079732377, 4239035279, 9197494595, 8035463304, 4235805933, 9124860547</v>
      </c>
      <c r="CN36" s="3" t="str">
        <f>IFERROR(__xludf.DUMMYFUNCTION("TEXTJOIN(
  "", "",
  TRUE,
  FILTER(
    $E$6:$E$35,
    CN$6:CN$35&lt;&gt;"""",
    LOWER(CN$6:CN$35)&lt;&gt;""gone""
  )
)
"),"4235035635, 4235035202, 2294132656, 4079732377, 4239035279, 9197494595, 8035463304, 4235805933, 9124860547, 2565686231")</f>
        <v>4235035635, 4235035202, 2294132656, 4079732377, 4239035279, 9197494595, 8035463304, 4235805933, 9124860547, 2565686231</v>
      </c>
      <c r="CO36" s="3" t="str">
        <f>IFERROR(__xludf.DUMMYFUNCTION("TEXTJOIN(
  "", "",
  TRUE,
  FILTER(
    $E$6:$E$35,
    CO$6:CO$35&lt;&gt;"""",
    LOWER(CO$6:CO$35)&lt;&gt;""gone""
  )
)
"),"5756356703, 4235035202, 4234325911, 4079732377, 4239035279, 9197494595, 8035463304, 4235805933, 2565686231")</f>
        <v>5756356703, 4235035202, 4234325911, 4079732377, 4239035279, 9197494595, 8035463304, 4235805933, 2565686231</v>
      </c>
      <c r="CP36" s="3" t="str">
        <f>IFERROR(__xludf.DUMMYFUNCTION("TEXTJOIN(
  "", "",
  TRUE,
  FILTER(
    $E$6:$E$35,
    CP$6:CP$35&lt;&gt;"""",
    LOWER(CP$6:CP$35)&lt;&gt;""gone""
  )
)
"),"4235035635, 4235035202, 2294132656, 4234325911, 4079732377, 4239035279, 9197494595, 8035463304, 4235805933, 8658095289, 7623957264")</f>
        <v>4235035635, 4235035202, 2294132656, 4234325911, 4079732377, 4239035279, 9197494595, 8035463304, 4235805933, 8658095289, 7623957264</v>
      </c>
      <c r="CQ36" s="3" t="str">
        <f>IFERROR(__xludf.DUMMYFUNCTION("TEXTJOIN(
  "", "",
  TRUE,
  FILTER(
    $E$6:$E$35,
    CQ$6:CQ$35&lt;&gt;"""",
    LOWER(CQ$6:CQ$35)&lt;&gt;""gone""
  )
)
"),"4235035635, 4235035202, 4234325911, 4233151647, 4079732377, 4239035279, 9197494595, 8035463304, 4235805933, 7623957264")</f>
        <v>4235035635, 4235035202, 4234325911, 4233151647, 4079732377, 4239035279, 9197494595, 8035463304, 4235805933, 7623957264</v>
      </c>
      <c r="CR36" s="3" t="str">
        <f>IFERROR(__xludf.DUMMYFUNCTION("TEXTJOIN(
  "", "",
  TRUE,
  FILTER(
    $E$6:$E$35,
    CR$6:CR$35&lt;&gt;"""",
    LOWER(CR$6:CR$35)&lt;&gt;""gone""
  )
)
"),"5756356703, 4235035635, 4235035202, 2294132656, 4234325911, 4239035279, 9197494595, 8035463304, 4235805933, 9124860547, 7623957264")</f>
        <v>5756356703, 4235035635, 4235035202, 2294132656, 4234325911, 4239035279, 9197494595, 8035463304, 4235805933, 9124860547, 7623957264</v>
      </c>
      <c r="CS36" s="3" t="str">
        <f>IFERROR(__xludf.DUMMYFUNCTION("TEXTJOIN(
  "", "",
  TRUE,
  FILTER(
    $E$6:$E$35,
    CS$6:CS$35&lt;&gt;"""",
    LOWER(CS$6:CS$35)&lt;&gt;""gone""
  )
)
"),"4235035635, 4235035202, 4234325911, 4079732377, 4239035279, 9197494595, 8035463304, 4235805933, 8658095289, 2565686231")</f>
        <v>4235035635, 4235035202, 4234325911, 4079732377, 4239035279, 9197494595, 8035463304, 4235805933, 8658095289, 2565686231</v>
      </c>
      <c r="CT36" s="3" t="str">
        <f>IFERROR(__xludf.DUMMYFUNCTION("TEXTJOIN(
  "", "",
  TRUE,
  FILTER(
    $E$6:$E$35,
    CT$6:CT$35&lt;&gt;"""",
    LOWER(CT$6:CT$35)&lt;&gt;""gone""
  )
)
"),"4235035635, 4235035202, 2294132656, 4234325911, 4239035279, 8035463304, 8658095289, 7623957264")</f>
        <v>4235035635, 4235035202, 2294132656, 4234325911, 4239035279, 8035463304, 8658095289, 7623957264</v>
      </c>
      <c r="CU36" s="3" t="str">
        <f>IFERROR(__xludf.DUMMYFUNCTION("TEXTJOIN(
  "", "",
  TRUE,
  FILTER(
    $E$6:$E$35,
    CU$6:CU$35&lt;&gt;"""",
    LOWER(CU$6:CU$35)&lt;&gt;""gone""
  )
)
"),"4235035635, 4235035202, 4234325911, 4233151647, 4079732377, 4239035279, 9197494595, 4235805933, 8658095289")</f>
        <v>4235035635, 4235035202, 4234325911, 4233151647, 4079732377, 4239035279, 9197494595, 4235805933, 8658095289</v>
      </c>
      <c r="CV36" s="3" t="str">
        <f>IFERROR(__xludf.DUMMYFUNCTION("TEXTJOIN(
  "", "",
  TRUE,
  FILTER(
    $E$6:$E$35,
    CV$6:CV$35&lt;&gt;"""",
    LOWER(CV$6:CV$35)&lt;&gt;""gone""
  )
)
"),"4239035279, 9197494595, 8035463304, 4235805933, 9124860547, 2565686231")</f>
        <v>4239035279, 9197494595, 8035463304, 4235805933, 9124860547, 2565686231</v>
      </c>
      <c r="CW36" s="3" t="str">
        <f>IFERROR(__xludf.DUMMYFUNCTION("TEXTJOIN(
  "", "",
  TRUE,
  FILTER(
    $E$6:$E$35,
    CW$6:CW$35&lt;&gt;"""",
    LOWER(CW$6:CW$35)&lt;&gt;""gone""
  )
)
"),"2565686231")</f>
        <v>2565686231</v>
      </c>
      <c r="CX36" s="3" t="str">
        <f>IFERROR(__xludf.DUMMYFUNCTION("TEXTJOIN(
  "", "",
  TRUE,
  FILTER(
    $E$6:$E$35,
    CX$6:CX$35&lt;&gt;"""",
    LOWER(CX$6:CX$35)&lt;&gt;""gone""
  )
)
"),"5756356703, 4235035202, 2294132656, 8035463304, 4235805933, 8658095289")</f>
        <v>5756356703, 4235035202, 2294132656, 8035463304, 4235805933, 8658095289</v>
      </c>
      <c r="CY36" s="3" t="str">
        <f>IFERROR(__xludf.DUMMYFUNCTION("TEXTJOIN(
  "", "",
  TRUE,
  FILTER(
    $E$6:$E$35,
    CY$6:CY$35&lt;&gt;"""",
    LOWER(CY$6:CY$35)&lt;&gt;""gone""
  )
)
"),"4235035202, 8035463304, 8658095289, 7623957264")</f>
        <v>4235035202, 8035463304, 8658095289, 7623957264</v>
      </c>
      <c r="CZ36" s="3" t="str">
        <f>IFERROR(__xludf.DUMMYFUNCTION("TEXTJOIN(
  "", "",
  TRUE,
  FILTER(
    $E$6:$E$35,
    CZ$6:CZ$35&lt;&gt;"""",
    LOWER(CZ$6:CZ$35)&lt;&gt;""gone""
  )
)
"),"5756356703, 4235035202, 2294132656, 4234325911, 8035463304, 7623957264")</f>
        <v>5756356703, 4235035202, 2294132656, 4234325911, 8035463304, 7623957264</v>
      </c>
      <c r="DA36" s="3" t="str">
        <f>IFERROR(__xludf.DUMMYFUNCTION("TEXTJOIN(
  "", "",
  TRUE,
  FILTER(
    $E$6:$E$35,
    DA$6:DA$35&lt;&gt;"""",
    LOWER(DA$6:DA$35)&lt;&gt;""gone""
  )
)
"),"4235035635, 4235035202, 4234325911, 4233151647, 4079732377, 4235805933, 7623957264")</f>
        <v>4235035635, 4235035202, 4234325911, 4233151647, 4079732377, 4235805933, 7623957264</v>
      </c>
      <c r="DB36" s="3" t="str">
        <f>IFERROR(__xludf.DUMMYFUNCTION("TEXTJOIN(
  "", "",
  TRUE,
  FILTER(
    $E$6:$E$35,
    DB$6:DB$35&lt;&gt;"""",
    LOWER(DB$6:DB$35)&lt;&gt;""gone""
  )
)
"),"5756356703, 4235035202, 4079732377, 9197494595, 4235805933, 8658095289")</f>
        <v>5756356703, 4235035202, 4079732377, 9197494595, 4235805933, 8658095289</v>
      </c>
      <c r="DC36" s="3" t="str">
        <f>IFERROR(__xludf.DUMMYFUNCTION("TEXTJOIN(
  "", "",
  TRUE,
  FILTER(
    $E$6:$E$35,
    DC$6:DC$35&lt;&gt;"""",
    LOWER(DC$6:DC$35)&lt;&gt;""gone""
  )
)
"),"4235035202, 4079732377, 9197494595, 4235805933, 8658095289, 2565686231")</f>
        <v>4235035202, 4079732377, 9197494595, 4235805933, 8658095289, 2565686231</v>
      </c>
      <c r="DD36" s="3" t="str">
        <f>IFERROR(__xludf.DUMMYFUNCTION("TEXTJOIN(
  "", "",
  TRUE,
  FILTER(
    $E$6:$E$35,
    DD$6:DD$35&lt;&gt;"""",
    LOWER(DD$6:DD$35)&lt;&gt;""gone""
  )
)
"),"4235035202, 2294132656, 4233151647, 4079732377, 8035463304, 4235805933, 7623957264")</f>
        <v>4235035202, 2294132656, 4233151647, 4079732377, 8035463304, 4235805933, 7623957264</v>
      </c>
      <c r="DE36" s="3" t="str">
        <f>IFERROR(__xludf.DUMMYFUNCTION("TEXTJOIN(
  "", "",
  TRUE,
  FILTER(
    $E$6:$E$35,
    DE$6:DE$35&lt;&gt;"""",
    LOWER(DE$6:DE$35)&lt;&gt;""gone""
  )
)
"),"4235035202, 2294132656, 4079732377, 4235805933, 9124860547, 8658095289")</f>
        <v>4235035202, 2294132656, 4079732377, 4235805933, 9124860547, 8658095289</v>
      </c>
      <c r="DF36" s="3" t="str">
        <f>IFERROR(__xludf.DUMMYFUNCTION("TEXTJOIN(
  "", "",
  TRUE,
  FILTER(
    $E$6:$E$35,
    DF$6:DF$35&lt;&gt;"""",
    LOWER(DF$6:DF$35)&lt;&gt;""gone""
  )
)
"),"5756356703, 4235035202, 4079732377, 9197494595, 4235805933, 9124860547, 7623957264")</f>
        <v>5756356703, 4235035202, 4079732377, 9197494595, 4235805933, 9124860547, 7623957264</v>
      </c>
      <c r="DG36" s="3" t="str">
        <f>IFERROR(__xludf.DUMMYFUNCTION("TEXTJOIN(
  "", "",
  TRUE,
  FILTER(
    $E$6:$E$35,
    DG$6:DG$35&lt;&gt;"""",
    LOWER(DG$6:DG$35)&lt;&gt;""gone""
  )
)
"),"4235035202, 2294132656, 4235805933, 9124860547, 2565686231")</f>
        <v>4235035202, 2294132656, 4235805933, 9124860547, 2565686231</v>
      </c>
      <c r="DH36" s="3" t="str">
        <f>IFERROR(__xludf.DUMMYFUNCTION("TEXTJOIN(
  "", "",
  TRUE,
  FILTER(
    $E$6:$E$35,
    DH$6:DH$35&lt;&gt;"""",
    LOWER(DH$6:DH$35)&lt;&gt;""gone""
  )
)
"),"4235035202, 4079732377, 9197494595, 9124860547, 8658095289")</f>
        <v>4235035202, 4079732377, 9197494595, 9124860547, 8658095289</v>
      </c>
      <c r="DI36" s="3" t="str">
        <f>IFERROR(__xludf.DUMMYFUNCTION("TEXTJOIN(
  "", "",
  TRUE,
  FILTER(
    $E$6:$E$35,
    DI$6:DI$35&lt;&gt;"""",
    LOWER(DI$6:DI$35)&lt;&gt;""gone""
  )
)
"),"4235035202, 2294132656, 4233151647, 4079732377, 8035463304, 4235805933, 7623957264")</f>
        <v>4235035202, 2294132656, 4233151647, 4079732377, 8035463304, 4235805933, 7623957264</v>
      </c>
      <c r="DJ36" s="3" t="str">
        <f>IFERROR(__xludf.DUMMYFUNCTION("TEXTJOIN(
  "", "",
  TRUE,
  FILTER(
    $E$6:$E$35,
    DJ$6:DJ$35&lt;&gt;"""",
    LOWER(DJ$6:DJ$35)&lt;&gt;""gone""
  )
)
"),"4235035202, 2294132656, 4079732377, 4235805933, 9124860547, 2565686231")</f>
        <v>4235035202, 2294132656, 4079732377, 4235805933, 9124860547, 2565686231</v>
      </c>
      <c r="DK36" s="3" t="str">
        <f>IFERROR(__xludf.DUMMYFUNCTION("TEXTJOIN(
  "", "",
  TRUE,
  FILTER(
    $E$6:$E$35,
    DK$6:DK$35&lt;&gt;"""",
    LOWER(DK$6:DK$35)&lt;&gt;""gone""
  )
)
"),"4235035202, 9197494595, 9124860547, 7623957264")</f>
        <v>4235035202, 9197494595, 9124860547, 7623957264</v>
      </c>
      <c r="DL36" s="3" t="str">
        <f>IFERROR(__xludf.DUMMYFUNCTION("TEXTJOIN(
  "", "",
  TRUE,
  FILTER(
    $E$6:$E$35,
    DL$6:DL$35&lt;&gt;"""",
    LOWER(DL$6:DL$35)&lt;&gt;""gone""
  )
)
"),"5756356703, 4235035635, 4235035202, 4234325911, 4079732377, 4239035279, 9197494595, 4235805933, 8658095289, 2565686231")</f>
        <v>5756356703, 4235035635, 4235035202, 4234325911, 4079732377, 4239035279, 9197494595, 4235805933, 8658095289, 2565686231</v>
      </c>
      <c r="DM36" s="3" t="str">
        <f>IFERROR(__xludf.DUMMYFUNCTION("TEXTJOIN(
  "", "",
  TRUE,
  FILTER(
    $E$6:$E$35,
    DM$6:DM$35&lt;&gt;"""",
    LOWER(DM$6:DM$35)&lt;&gt;""gone""
  )
)
"),"4235035635, 4235035202, 2294132656, 4234325911, 4233151647, 4239035279, 8035463304, 4235805933, 9124860547")</f>
        <v>4235035635, 4235035202, 2294132656, 4234325911, 4233151647, 4239035279, 8035463304, 4235805933, 9124860547</v>
      </c>
      <c r="DN36" s="3" t="str">
        <f>IFERROR(__xludf.DUMMYFUNCTION("TEXTJOIN(
  "", "",
  TRUE,
  FILTER(
    $E$6:$E$35,
    DN$6:DN$35&lt;&gt;"""",
    LOWER(DN$6:DN$35)&lt;&gt;""gone""
  )
)
"),"5756356703, 4235035635, 4235035202, 2294132656, 4234325911, 4079732377, 4239035279, 4235805933, 9124860547, 2565686231")</f>
        <v>5756356703, 4235035635, 4235035202, 2294132656, 4234325911, 4079732377, 4239035279, 4235805933, 9124860547, 2565686231</v>
      </c>
      <c r="DO36" s="3" t="str">
        <f>IFERROR(__xludf.DUMMYFUNCTION("TEXTJOIN(
  "", "",
  TRUE,
  FILTER(
    $E$6:$E$35,
    DO$6:DO$35&lt;&gt;"""",
    LOWER(DO$6:DO$35)&lt;&gt;""gone""
  )
)
"),"4235035635, 4235035202, 4234325911, 4079732377, 4239035279, 9197494595, 4235805933, 9124860547, 8658095289")</f>
        <v>4235035635, 4235035202, 4234325911, 4079732377, 4239035279, 9197494595, 4235805933, 9124860547, 8658095289</v>
      </c>
      <c r="DP36" s="3" t="str">
        <f>IFERROR(__xludf.DUMMYFUNCTION("TEXTJOIN(
  "", "",
  TRUE,
  FILTER(
    $E$6:$E$35,
    DP$6:DP$35&lt;&gt;"""",
    LOWER(DP$6:DP$35)&lt;&gt;""gone""
  )
)
"),"4235035635, 4235035202, 4234325911, 4079732377, 4239035279, 9197494595, 9124860547")</f>
        <v>4235035635, 4235035202, 4234325911, 4079732377, 4239035279, 9197494595, 9124860547</v>
      </c>
      <c r="DQ36" s="3" t="str">
        <f>IFERROR(__xludf.DUMMYFUNCTION("TEXTJOIN(
  "", "",
  TRUE,
  FILTER(
    $E$6:$E$35,
    DQ$6:DQ$35&lt;&gt;"""",
    LOWER(DQ$6:DQ$35)&lt;&gt;""gone""
  )
)
"),"4235035635, 4235035202, 2294132656, 4234325911, 4233151647, 4079732377, 4239035279, 7623957264")</f>
        <v>4235035635, 4235035202, 2294132656, 4234325911, 4233151647, 4079732377, 4239035279, 7623957264</v>
      </c>
      <c r="DR36" s="3" t="str">
        <f>IFERROR(__xludf.DUMMYFUNCTION("TEXTJOIN(
  "", "",
  TRUE,
  FILTER(
    $E$6:$E$35,
    DR$6:DR$35&lt;&gt;"""",
    LOWER(DR$6:DR$35)&lt;&gt;""gone""
  )
)
"),"4235035635, 4235035202, 2294132656, 4234325911, 4079732377, 4239035279, 4235805933, 7623957264")</f>
        <v>4235035635, 4235035202, 2294132656, 4234325911, 4079732377, 4239035279, 4235805933, 7623957264</v>
      </c>
      <c r="DS36" s="3" t="str">
        <f>IFERROR(__xludf.DUMMYFUNCTION("TEXTJOIN(
  "", "",
  TRUE,
  FILTER(
    $E$6:$E$35,
    DS$6:DS$35&lt;&gt;"""",
    LOWER(DS$6:DS$35)&lt;&gt;""gone""
  )
)
"),"4235035635, 4235035202, 4234325911, 4079732377, 4239035279, 4235805933, 9124860547, 8658095289")</f>
        <v>4235035635, 4235035202, 4234325911, 4079732377, 4239035279, 4235805933, 9124860547, 8658095289</v>
      </c>
      <c r="DT36" s="3" t="str">
        <f>IFERROR(__xludf.DUMMYFUNCTION("TEXTJOIN(
  "", "",
  TRUE,
  FILTER(
    $E$6:$E$35,
    DT$6:DT$35&lt;&gt;"""",
    LOWER(DT$6:DT$35)&lt;&gt;""gone""
  )
)
"),"4235035635, 4235035202, 4234325911, 4079732377, 4239035279, 9197494595, 4235805933, 9124860547, 2565686231")</f>
        <v>4235035635, 4235035202, 4234325911, 4079732377, 4239035279, 9197494595, 4235805933, 9124860547, 2565686231</v>
      </c>
      <c r="DU36" s="3" t="str">
        <f>IFERROR(__xludf.DUMMYFUNCTION("TEXTJOIN(
  "", "",
  TRUE,
  FILTER(
    $E$6:$E$35,
    DU$6:DU$35&lt;&gt;"""",
    LOWER(DU$6:DU$35)&lt;&gt;""gone""
  )
)
"),"5756356703, 4235035635, 4235035202, 4234325911, 4239035279, 9197494595, 7623957264")</f>
        <v>5756356703, 4235035635, 4235035202, 4234325911, 4239035279, 9197494595, 7623957264</v>
      </c>
      <c r="DV36" s="3" t="str">
        <f>IFERROR(__xludf.DUMMYFUNCTION("TEXTJOIN(
  "", "",
  TRUE,
  FILTER(
    $E$6:$E$35,
    DV$6:DV$35&lt;&gt;"""",
    LOWER(DV$6:DV$35)&lt;&gt;""gone""
  )
)
"),"5756356703, 4235035635, 4235035202, 4234325911, 4239035279, 9197494595, 4235805933")</f>
        <v>5756356703, 4235035635, 4235035202, 4234325911, 4239035279, 9197494595, 4235805933</v>
      </c>
      <c r="DW36" s="3" t="str">
        <f>IFERROR(__xludf.DUMMYFUNCTION("TEXTJOIN(
  "", "",
  TRUE,
  FILTER(
    $E$6:$E$35,
    DW$6:DW$35&lt;&gt;"""",
    LOWER(DW$6:DW$35)&lt;&gt;""gone""
  )
)
"),"5756356703, 4235035635, 4235035202, 2294132656, 4234325911, 4239035279, 8035463304, 4235805933, 2565686231")</f>
        <v>5756356703, 4235035635, 4235035202, 2294132656, 4234325911, 4239035279, 8035463304, 4235805933, 2565686231</v>
      </c>
      <c r="DX36" s="3" t="str">
        <f>IFERROR(__xludf.DUMMYFUNCTION("TEXTJOIN(
  "", "",
  TRUE,
  FILTER(
    $E$6:$E$35,
    DX$6:DX$35&lt;&gt;"""",
    LOWER(DX$6:DX$35)&lt;&gt;""gone""
  )
)
"),"4235035635, 4235035202, 2294132656, 4234325911, 4079732377, 4239035279, 8035463304, 4235805933, 7623957264")</f>
        <v>4235035635, 4235035202, 2294132656, 4234325911, 4079732377, 4239035279, 8035463304, 4235805933, 7623957264</v>
      </c>
      <c r="DY36" s="3" t="str">
        <f>IFERROR(__xludf.DUMMYFUNCTION("TEXTJOIN(
  "", "",
  TRUE,
  FILTER(
    $E$6:$E$35,
    DY$6:DY$35&lt;&gt;"""",
    LOWER(DY$6:DY$35)&lt;&gt;""gone""
  )
)
"),"4235035635, 4235035202, 4234325911, 4079732377, 4239035279, 8035463304, 4235805933, 2565686231")</f>
        <v>4235035635, 4235035202, 4234325911, 4079732377, 4239035279, 8035463304, 4235805933, 2565686231</v>
      </c>
      <c r="DZ36" s="3" t="str">
        <f>IFERROR(__xludf.DUMMYFUNCTION("TEXTJOIN(
  "", "",
  TRUE,
  FILTER(
    $E$6:$E$35,
    DZ$6:DZ$35&lt;&gt;"""",
    LOWER(DZ$6:DZ$35)&lt;&gt;""gone""
  )
)
"),"4235035635, 4235035202, 4234325911, 4233151647, 4079732377, 4239035279, 4235805933, 9124860547, 2565686231")</f>
        <v>4235035635, 4235035202, 4234325911, 4233151647, 4079732377, 4239035279, 4235805933, 9124860547, 2565686231</v>
      </c>
      <c r="EA36" s="3" t="str">
        <f>IFERROR(__xludf.DUMMYFUNCTION("TEXTJOIN(
  "", "",
  TRUE,
  FILTER(
    $E$6:$E$35,
    EA$6:EA$35&lt;&gt;"""",
    LOWER(EA$6:EA$35)&lt;&gt;""gone""
  )
)
"),"5756356703, 4235035635, 4234325911, 4079732377, 4239035279, 8658095289")</f>
        <v>5756356703, 4235035635, 4234325911, 4079732377, 4239035279, 8658095289</v>
      </c>
      <c r="EB36" s="3" t="str">
        <f>IFERROR(__xludf.DUMMYFUNCTION("TEXTJOIN(
  "", "",
  TRUE,
  FILTER(
    $E$6:$E$35,
    EB$6:EB$35&lt;&gt;"""",
    LOWER(EB$6:EB$35)&lt;&gt;""gone""
  )
)
"),"4235035635, 4235035202, 4234325911, 4079732377, 4239035279, 4235805933, 9124860547, 8658095289, 7623957264")</f>
        <v>4235035635, 4235035202, 4234325911, 4079732377, 4239035279, 4235805933, 9124860547, 8658095289, 7623957264</v>
      </c>
      <c r="EC36" s="3" t="str">
        <f>IFERROR(__xludf.DUMMYFUNCTION("TEXTJOIN(
  "", "",
  TRUE,
  FILTER(
    $E$6:$E$35,
    EC$6:EC$35&lt;&gt;"""",
    LOWER(EC$6:EC$35)&lt;&gt;""gone""
  )
)
"),"5756356703, 4235035635, 4235035202, 4239035279, 4235805933, 9124860547, 2565686231")</f>
        <v>5756356703, 4235035635, 4235035202, 4239035279, 4235805933, 9124860547, 2565686231</v>
      </c>
      <c r="ED36" s="3" t="str">
        <f>IFERROR(__xludf.DUMMYFUNCTION("TEXTJOIN(
  "", "",
  TRUE,
  FILTER(
    $E$6:$E$35,
    ED$6:ED$35&lt;&gt;"""",
    LOWER(ED$6:ED$35)&lt;&gt;""gone""
  )
)
"),"4235035635, 4235035202, 4079732377, 4239035279, 9124860547, 7623957264")</f>
        <v>4235035635, 4235035202, 4079732377, 4239035279, 9124860547, 7623957264</v>
      </c>
      <c r="EE36" s="3" t="str">
        <f>IFERROR(__xludf.DUMMYFUNCTION("TEXTJOIN(
  "", "",
  TRUE,
  FILTER(
    $E$6:$E$35,
    EE$6:EE$35&lt;&gt;"""",
    LOWER(EE$6:EE$35)&lt;&gt;""gone""
  )
)
"),"4235035635, 4235035202, 4234325911, 4233151647, 4239035279, 9124860547, 2565686231")</f>
        <v>4235035635, 4235035202, 4234325911, 4233151647, 4239035279, 9124860547, 2565686231</v>
      </c>
      <c r="EF36" s="3" t="str">
        <f>IFERROR(__xludf.DUMMYFUNCTION("TEXTJOIN(
  "", "",
  TRUE,
  FILTER(
    $E$6:$E$35,
    EF$6:EF$35&lt;&gt;"""",
    LOWER(EF$6:EF$35)&lt;&gt;""gone""
  )
)
"),"5756356703, 4235035635, 4235035202, 4234325911, 4079732377, 4239035279, 8035463304, 9124860547")</f>
        <v>5756356703, 4235035635, 4235035202, 4234325911, 4079732377, 4239035279, 8035463304, 9124860547</v>
      </c>
      <c r="EG36" s="3" t="str">
        <f>IFERROR(__xludf.DUMMYFUNCTION("TEXTJOIN(
  "", "",
  TRUE,
  FILTER(
    $E$6:$E$35,
    EG$6:EG$35&lt;&gt;"""",
    LOWER(EG$6:EG$35)&lt;&gt;""gone""
  )
)
"),"5756356703, 4235035635, 4235035202, 4234325911, 4079732377, 4239035279, 7623957264")</f>
        <v>5756356703, 4235035635, 4235035202, 4234325911, 4079732377, 4239035279, 7623957264</v>
      </c>
      <c r="EH36" s="3" t="str">
        <f>IFERROR(__xludf.DUMMYFUNCTION("TEXTJOIN(
  "", "",
  TRUE,
  FILTER(
    $E$6:$E$35,
    EH$6:EH$35&lt;&gt;"""",
    LOWER(EH$6:EH$35)&lt;&gt;""gone""
  )
)
"),"4235035635, 4235035202, 4234325911, 4233151647, 4079732377, 4239035279, 9124860547")</f>
        <v>4235035635, 4235035202, 4234325911, 4233151647, 4079732377, 4239035279, 9124860547</v>
      </c>
      <c r="EI36" s="3" t="str">
        <f>IFERROR(__xludf.DUMMYFUNCTION("TEXTJOIN(
  "", "",
  TRUE,
  FILTER(
    $E$6:$E$35,
    EI$6:EI$35&lt;&gt;"""",
    LOWER(EI$6:EI$35)&lt;&gt;""gone""
  )
)
"),"5756356703, 4235035635, 4235035202, 4234325911, 4239035279, 8035463304, 4235805933, 8658095289, 2565686231")</f>
        <v>5756356703, 4235035635, 4235035202, 4234325911, 4239035279, 8035463304, 4235805933, 8658095289, 2565686231</v>
      </c>
      <c r="EJ36" s="3" t="str">
        <f>IFERROR(__xludf.DUMMYFUNCTION("TEXTJOIN(
  "", "",
  TRUE,
  FILTER(
    $E$6:$E$35,
    EJ$6:EJ$35&lt;&gt;"""",
    LOWER(EJ$6:EJ$35)&lt;&gt;""gone""
  )
)
"),"4235035635, 4235035202, 4234325911, 4233151647, 4239035279, 4235805933, 9124860547, 7623957264")</f>
        <v>4235035635, 4235035202, 4234325911, 4233151647, 4239035279, 4235805933, 9124860547, 7623957264</v>
      </c>
      <c r="EK36" s="3" t="str">
        <f>IFERROR(__xludf.DUMMYFUNCTION("TEXTJOIN(
  "", "",
  TRUE,
  FILTER(
    $E$6:$E$35,
    EK$6:EK$35&lt;&gt;"""",
    LOWER(EK$6:EK$35)&lt;&gt;""gone""
  )
)
"),"4235035635, 4235035202, 4234325911, 4079732377, 4239035279, 4235805933, 9124860547, 2565686231")</f>
        <v>4235035635, 4235035202, 4234325911, 4079732377, 4239035279, 4235805933, 9124860547, 2565686231</v>
      </c>
      <c r="EL36" s="3" t="str">
        <f>IFERROR(__xludf.DUMMYFUNCTION("TEXTJOIN(
  "", "",
  TRUE,
  FILTER(
    $E$6:$E$35,
    EL$6:EL$35&lt;&gt;"""",
    LOWER(EL$6:EL$35)&lt;&gt;""gone""
  )
)
"),"4235035635, 4235035202, 4234325911, 4079732377, 4239035279, 4235805933, 9124860547, 7623957264")</f>
        <v>4235035635, 4235035202, 4234325911, 4079732377, 4239035279, 4235805933, 9124860547, 7623957264</v>
      </c>
      <c r="EM36" s="3" t="str">
        <f>IFERROR(__xludf.DUMMYFUNCTION("TEXTJOIN(
  "", "",
  TRUE,
  FILTER(
    $E$6:$E$35,
    EM$6:EM$35&lt;&gt;"""",
    LOWER(EM$6:EM$35)&lt;&gt;""gone""
  )
)
"),"5756356703, 4235035635, 4235035202, 4234325911, 4079732377, 4239035279, 4235805933, 8658095289")</f>
        <v>5756356703, 4235035635, 4235035202, 4234325911, 4079732377, 4239035279, 4235805933, 8658095289</v>
      </c>
      <c r="EN36" s="3" t="str">
        <f>IFERROR(__xludf.DUMMYFUNCTION("TEXTJOIN(
  "", "",
  TRUE,
  FILTER(
    $E$6:$E$35,
    EN$6:EN$35&lt;&gt;"""",
    LOWER(EN$6:EN$35)&lt;&gt;""gone""
  )
)
"),"5756356703, 4235035635, 4235035202, 4079732377, 4239035279, 4235805933, 9124860547, 7623957264")</f>
        <v>5756356703, 4235035635, 4235035202, 4079732377, 4239035279, 4235805933, 9124860547, 7623957264</v>
      </c>
      <c r="EO36" s="3" t="str">
        <f>IFERROR(__xludf.DUMMYFUNCTION("TEXTJOIN(
  "", "",
  TRUE,
  FILTER(
    $E$6:$E$35,
    EO$6:EO$35&lt;&gt;"""",
    LOWER(EO$6:EO$35)&lt;&gt;""gone""
  )
)
"),"4235035635, 4235035202, 4234325911, 4233151647, 4079732377, 4239035279, 8035463304, 4235805933, 9124860547, 8658095289")</f>
        <v>4235035635, 4235035202, 4234325911, 4233151647, 4079732377, 4239035279, 8035463304, 4235805933, 9124860547, 8658095289</v>
      </c>
      <c r="EP36" s="3" t="str">
        <f>IFERROR(__xludf.DUMMYFUNCTION("TEXTJOIN(
  "", "",
  TRUE,
  FILTER(
    $E$6:$E$35,
    EP$6:EP$35&lt;&gt;"""",
    LOWER(EP$6:EP$35)&lt;&gt;""gone""
  )
)
"),"4235035635, 4235035202, 4234325911, 4233151647, 4239035279, 9197494595, 8035463304, 4235805933, 9124860547, 2565686231")</f>
        <v>4235035635, 4235035202, 4234325911, 4233151647, 4239035279, 9197494595, 8035463304, 4235805933, 9124860547, 2565686231</v>
      </c>
      <c r="EQ36" s="3" t="str">
        <f>IFERROR(__xludf.DUMMYFUNCTION("TEXTJOIN(
  "", "",
  TRUE,
  FILTER(
    $E$6:$E$35,
    EQ$6:EQ$35&lt;&gt;"""",
    LOWER(EQ$6:EQ$35)&lt;&gt;""gone""
  )
)
"),"5756356703, 4235035635, 4235035202, 4234325911, 4079732377, 4239035279, 9197494595, 8035463304, 4235805933, 7623957264")</f>
        <v>5756356703, 4235035635, 4235035202, 4234325911, 4079732377, 4239035279, 9197494595, 8035463304, 4235805933, 7623957264</v>
      </c>
      <c r="ER36" s="3" t="str">
        <f>IFERROR(__xludf.DUMMYFUNCTION("TEXTJOIN(
  "", "",
  TRUE,
  FILTER(
    $E$6:$E$35,
    ER$6:ER$35&lt;&gt;"""",
    LOWER(ER$6:ER$35)&lt;&gt;""gone""
  )
)
"),"4235035635, 4235035202, 2294132656, 4079732377, 4239035279, 4235805933, 9124860547, 2565686231")</f>
        <v>4235035635, 4235035202, 2294132656, 4079732377, 4239035279, 4235805933, 9124860547, 2565686231</v>
      </c>
      <c r="ES36" s="3" t="str">
        <f>IFERROR(__xludf.DUMMYFUNCTION("TEXTJOIN(
  "", "",
  TRUE,
  FILTER(
    $E$6:$E$35,
    ES$6:ES$35&lt;&gt;"""",
    LOWER(ES$6:ES$35)&lt;&gt;""gone""
  )
)
"),"4235035202, 2294132656, 4234325911, 4233151647, 4239035279, 8035463304, 4235805933, 8658095289, 7623957264")</f>
        <v>4235035202, 2294132656, 4234325911, 4233151647, 4239035279, 8035463304, 4235805933, 8658095289, 7623957264</v>
      </c>
      <c r="ET36" s="3" t="str">
        <f>IFERROR(__xludf.DUMMYFUNCTION("TEXTJOIN(
  "", "",
  TRUE,
  FILTER(
    $E$6:$E$35,
    ET$6:ET$35&lt;&gt;"""",
    LOWER(ET$6:ET$35)&lt;&gt;""gone""
  )
)
"),"4235035202, 2294132656, 4234325911, 4233151647, 4079732377, 4239035279, 8035463304, 8658095289, 7623957264")</f>
        <v>4235035202, 2294132656, 4234325911, 4233151647, 4079732377, 4239035279, 8035463304, 8658095289, 7623957264</v>
      </c>
      <c r="EU36" s="3" t="str">
        <f>IFERROR(__xludf.DUMMYFUNCTION("TEXTJOIN(
  "", "",
  TRUE,
  FILTER(
    $E$6:$E$35,
    EU$6:EU$35&lt;&gt;"""",
    LOWER(EU$6:EU$35)&lt;&gt;""gone""
  )
)
"),"5756356703, 4235035635, 4235035202, 2294132656, 4234325911, 4079732377, 4239035279, 9197494595, 2565686231")</f>
        <v>5756356703, 4235035635, 4235035202, 2294132656, 4234325911, 4079732377, 4239035279, 9197494595, 2565686231</v>
      </c>
      <c r="EV36" s="3" t="str">
        <f>IFERROR(__xludf.DUMMYFUNCTION("TEXTJOIN(
  "", "",
  TRUE,
  FILTER(
    $E$6:$E$35,
    EV$6:EV$35&lt;&gt;"""",
    LOWER(EV$6:EV$35)&lt;&gt;""gone""
  )
)
"),"4235035635, 4235035202, 4234325911, 4079732377, 4239035279, 9197494595, 8035463304, 2565686231")</f>
        <v>4235035635, 4235035202, 4234325911, 4079732377, 4239035279, 9197494595, 8035463304, 2565686231</v>
      </c>
      <c r="EW36" s="3" t="str">
        <f>IFERROR(__xludf.DUMMYFUNCTION("TEXTJOIN(
  "", "",
  TRUE,
  FILTER(
    $E$6:$E$35,
    EW$6:EW$35&lt;&gt;"""",
    LOWER(EW$6:EW$35)&lt;&gt;""gone""
  )
)
"),"5756356703, 4235035635, 4079732377, 9197494595, 4235805933, 9125123546, 2565686231, 7623957264")</f>
        <v>5756356703, 4235035635, 4079732377, 9197494595, 4235805933, 9125123546, 2565686231, 7623957264</v>
      </c>
      <c r="EX36" s="3" t="str">
        <f>IFERROR(__xludf.DUMMYFUNCTION("TEXTJOIN(
  "", "",
  TRUE,
  FILTER(
    $E$6:$E$35,
    EX$6:EX$35&lt;&gt;"""",
    LOWER(EX$6:EX$35)&lt;&gt;""gone""
  )
)
"),"4235035635, 4234325911, 4079732377, 4239035279, 9197494595, 8035463304, 4235805933, 2565686231")</f>
        <v>4235035635, 4234325911, 4079732377, 4239035279, 9197494595, 8035463304, 4235805933, 2565686231</v>
      </c>
      <c r="EY36" s="3" t="str">
        <f>IFERROR(__xludf.DUMMYFUNCTION("TEXTJOIN(
  "", "",
  TRUE,
  FILTER(
    $E$6:$E$35,
    EY$6:EY$35&lt;&gt;"""",
    LOWER(EY$6:EY$35)&lt;&gt;""gone""
  )
)
"),"4235035635, 4235035202, 2294132656, 4234325911, 4233151647, 4239035279, 4235805933, 8658095289, 7623957264")</f>
        <v>4235035635, 4235035202, 2294132656, 4234325911, 4233151647, 4239035279, 4235805933, 8658095289, 7623957264</v>
      </c>
      <c r="EZ36" s="3" t="str">
        <f>IFERROR(__xludf.DUMMYFUNCTION("TEXTJOIN(
  "", "",
  TRUE,
  FILTER(
    $E$6:$E$35,
    EZ$6:EZ$35&lt;&gt;"""",
    LOWER(EZ$6:EZ$35)&lt;&gt;""gone""
  )
)
"),"4235035635, 4235035202, 2294132656, 4234325911, 4233151647, 4239035279, 8035463304, 4235805933, 2565686231, 7623957264")</f>
        <v>4235035635, 4235035202, 2294132656, 4234325911, 4233151647, 4239035279, 8035463304, 4235805933, 2565686231, 7623957264</v>
      </c>
      <c r="FA36" s="3" t="str">
        <f>IFERROR(__xludf.DUMMYFUNCTION("TEXTJOIN(
  "", "",
  TRUE,
  FILTER(
    $E$6:$E$35,
    FA$6:FA$35&lt;&gt;"""",
    LOWER(FA$6:FA$35)&lt;&gt;""gone""
  )
)
"),"5756356703, 4235035635, 2294132656, 4234325911, 9125123546, 7623957264")</f>
        <v>5756356703, 4235035635, 2294132656, 4234325911, 9125123546, 7623957264</v>
      </c>
      <c r="FB36" s="3" t="str">
        <f>IFERROR(__xludf.DUMMYFUNCTION("TEXTJOIN(
  "", "",
  TRUE,
  FILTER(
    $E$6:$E$35,
    FB$6:FB$35&lt;&gt;"""",
    LOWER(FB$6:FB$35)&lt;&gt;""gone""
  )
)
"),"4235035635, 4235035202, 4234325911, 4079732377, 4239035279, 4235805933")</f>
        <v>4235035635, 4235035202, 4234325911, 4079732377, 4239035279, 4235805933</v>
      </c>
      <c r="FC36" s="3" t="str">
        <f>IFERROR(__xludf.DUMMYFUNCTION("TEXTJOIN(
  "", "",
  TRUE,
  FILTER(
    $E$6:$E$35,
    FC$6:FC$35&lt;&gt;"""",
    LOWER(FC$6:FC$35)&lt;&gt;""gone""
  )
)
"),"4235035635, 4235035202, 4234325911, 4079732377, 4239035279, 8035463304, 4235805933, 9124860547, 8658095289, 7623957264")</f>
        <v>4235035635, 4235035202, 4234325911, 4079732377, 4239035279, 8035463304, 4235805933, 9124860547, 8658095289, 7623957264</v>
      </c>
      <c r="FD36" s="3" t="str">
        <f>IFERROR(__xludf.DUMMYFUNCTION("TEXTJOIN(
  "", "",
  TRUE,
  FILTER(
    $E$6:$E$35,
    FD$6:FD$35&lt;&gt;"""",
    LOWER(FD$6:FD$35)&lt;&gt;""gone""
  )
)
"),"5756356703, 4235035635, 4235035202, 4234325911, 4239035279, 4235805933, 9124860547, 7623957264")</f>
        <v>5756356703, 4235035635, 4235035202, 4234325911, 4239035279, 4235805933, 9124860547, 7623957264</v>
      </c>
      <c r="FE36" s="3" t="str">
        <f>IFERROR(__xludf.DUMMYFUNCTION("TEXTJOIN(
  "", "",
  TRUE,
  FILTER(
    $E$6:$E$35,
    FE$6:FE$35&lt;&gt;"""",
    LOWER(FE$6:FE$35)&lt;&gt;""gone""
  )
)
"),"4235035635, 4235035202, 4234325911, 4239035279, 4235805933, 2565686231")</f>
        <v>4235035635, 4235035202, 4234325911, 4239035279, 4235805933, 2565686231</v>
      </c>
      <c r="FF36" s="3" t="str">
        <f>IFERROR(__xludf.DUMMYFUNCTION("TEXTJOIN(
  "", "",
  TRUE,
  FILTER(
    $E$6:$E$35,
    FF$6:FF$35&lt;&gt;"""",
    LOWER(FF$6:FF$35)&lt;&gt;""gone""
  )
)
"),"4235035635, 4235035202, 4079732377, 4239035279, 4235805933, 9124860547, 7623957264")</f>
        <v>4235035635, 4235035202, 4079732377, 4239035279, 4235805933, 9124860547, 7623957264</v>
      </c>
      <c r="FG36" s="3" t="str">
        <f>IFERROR(__xludf.DUMMYFUNCTION("TEXTJOIN(
  "", "",
  TRUE,
  FILTER(
    $E$6:$E$35,
    FG$6:FG$35&lt;&gt;"""",
    LOWER(FG$6:FG$35)&lt;&gt;""gone""
  )
)
"),"5756356703, 4235035635, 4235035202, 2294132656, 4234325911, 4239035279, 4235805933, 9124860547, 2565686231, 7623957264")</f>
        <v>5756356703, 4235035635, 4235035202, 2294132656, 4234325911, 4239035279, 4235805933, 9124860547, 2565686231, 7623957264</v>
      </c>
      <c r="FH36" s="3" t="str">
        <f>IFERROR(__xludf.DUMMYFUNCTION("TEXTJOIN(
  "", "",
  TRUE,
  FILTER(
    $E$6:$E$35,
    FH$6:FH$35&lt;&gt;"""",
    LOWER(FH$6:FH$35)&lt;&gt;""gone""
  )
)
"),"4235035635, 4235035202, 4234325911, 4233151647, 4239035279, 9197494595, 4235805933, 7623957264")</f>
        <v>4235035635, 4235035202, 4234325911, 4233151647, 4239035279, 9197494595, 4235805933, 7623957264</v>
      </c>
      <c r="FI36" s="3" t="str">
        <f>IFERROR(__xludf.DUMMYFUNCTION("TEXTJOIN(
  "", "",
  TRUE,
  FILTER(
    $E$6:$E$35,
    FI$6:FI$35&lt;&gt;"""",
    LOWER(FI$6:FI$35)&lt;&gt;""gone""
  )
)
"),"4235035635, 4235035202, 4234325911, 4233151647, 4079732377, 4239035279, 9197494595, 8035463304, 4235805933, 9124860547")</f>
        <v>4235035635, 4235035202, 4234325911, 4233151647, 4079732377, 4239035279, 9197494595, 8035463304, 4235805933, 9124860547</v>
      </c>
      <c r="FJ36" s="3" t="str">
        <f>IFERROR(__xludf.DUMMYFUNCTION("TEXTJOIN(
  "", "",
  TRUE,
  FILTER(
    $E$6:$E$35,
    FJ$6:FJ$35&lt;&gt;"""",
    LOWER(FJ$6:FJ$35)&lt;&gt;""gone""
  )
)
"),"5756356703, 4235035635, 4235035202, 2294132656, 4234325911, 4079732377, 4239035279, 8035463304, 2565686231, 7623957264")</f>
        <v>5756356703, 4235035635, 4235035202, 2294132656, 4234325911, 4079732377, 4239035279, 8035463304, 2565686231, 7623957264</v>
      </c>
      <c r="FK36" s="3" t="str">
        <f>IFERROR(__xludf.DUMMYFUNCTION("TEXTJOIN(
  "", "",
  TRUE,
  FILTER(
    $E$6:$E$35,
    FK$6:FK$35&lt;&gt;"""",
    LOWER(FK$6:FK$35)&lt;&gt;""gone""
  )
)
"),"4235035635, 4235035202, 2294132656, 4234325911, 4079732377, 4239035279, 8035463304, 4235805933, 9124860547, 2565686231, 7623957264")</f>
        <v>4235035635, 4235035202, 2294132656, 4234325911, 4079732377, 4239035279, 8035463304, 4235805933, 9124860547, 2565686231, 7623957264</v>
      </c>
      <c r="FL36" s="3" t="str">
        <f>IFERROR(__xludf.DUMMYFUNCTION("TEXTJOIN(
  "", "",
  TRUE,
  FILTER(
    $E$6:$E$35,
    FL$6:FL$35&lt;&gt;"""",
    LOWER(FL$6:FL$35)&lt;&gt;""gone""
  )
)
"),"4235035635, 4234325911, 4079732377, 4239035279, 8035463304, 4235805933, 9125123546, 9124860547, 7623957264")</f>
        <v>4235035635, 4234325911, 4079732377, 4239035279, 8035463304, 4235805933, 9125123546, 9124860547, 7623957264</v>
      </c>
      <c r="FM36" s="3" t="str">
        <f>IFERROR(__xludf.DUMMYFUNCTION("TEXTJOIN(
  "", "",
  TRUE,
  FILTER(
    $E$6:$E$35,
    FM$6:FM$35&lt;&gt;"""",
    LOWER(FM$6:FM$35)&lt;&gt;""gone""
  )
)
"),"5756356703, 4235035635, 4235035202, 2294132656, 4234325911, 8035463304, 9124860547, 2565686231, 7623957264")</f>
        <v>5756356703, 4235035635, 4235035202, 2294132656, 4234325911, 8035463304, 9124860547, 2565686231, 7623957264</v>
      </c>
      <c r="FN36" s="3" t="str">
        <f>IFERROR(__xludf.DUMMYFUNCTION("TEXTJOIN(
  "", "",
  TRUE,
  FILTER(
    $E$6:$E$35,
    FN$6:FN$35&lt;&gt;"""",
    LOWER(FN$6:FN$35)&lt;&gt;""gone""
  )
)
"),"4235035635, 4235035202, 4234325911, 4233151647, 4239035279, 9197494595, 4235805933, 9124860547, 2565686231")</f>
        <v>4235035635, 4235035202, 4234325911, 4233151647, 4239035279, 9197494595, 4235805933, 9124860547, 2565686231</v>
      </c>
      <c r="FO36" s="3" t="str">
        <f>IFERROR(__xludf.DUMMYFUNCTION("TEXTJOIN(
  "", "",
  TRUE,
  FILTER(
    $E$6:$E$35,
    FO$6:FO$35&lt;&gt;"""",
    LOWER(FO$6:FO$35)&lt;&gt;""gone""
  )
)
"),"4235035635, 4235035202, 2294132656, 4234325911, 4079732377, 4239035279, 8035463304, 4235805933, 9124860547, 2565686231, 7623957264")</f>
        <v>4235035635, 4235035202, 2294132656, 4234325911, 4079732377, 4239035279, 8035463304, 4235805933, 9124860547, 2565686231, 7623957264</v>
      </c>
      <c r="FP36" s="3" t="str">
        <f>IFERROR(__xludf.DUMMYFUNCTION("TEXTJOIN(
  "", "",
  TRUE,
  FILTER(
    $E$6:$E$35,
    FP$6:FP$35&lt;&gt;"""",
    LOWER(FP$6:FP$35)&lt;&gt;""gone""
  )
)
"),"5756356703, 4235035635, 4235035202, 4234325911, 4239035279, 8035463304, 4232809993, 9124860547, 7623957264")</f>
        <v>5756356703, 4235035635, 4235035202, 4234325911, 4239035279, 8035463304, 4232809993, 9124860547, 7623957264</v>
      </c>
      <c r="FQ36" s="3" t="str">
        <f>IFERROR(__xludf.DUMMYFUNCTION("TEXTJOIN(
  "", "",
  TRUE,
  FILTER(
    $E$6:$E$35,
    FQ$6:FQ$35&lt;&gt;"""",
    LOWER(FQ$6:FQ$35)&lt;&gt;""gone""
  )
)
"),"4235035635, 4235035202, 2294132656, 4234325911, 4079732377, 4239035279, 8035463304, 9124860547, 2565686231, 7623957264")</f>
        <v>4235035635, 4235035202, 2294132656, 4234325911, 4079732377, 4239035279, 8035463304, 9124860547, 2565686231, 7623957264</v>
      </c>
      <c r="FR36" s="3" t="str">
        <f>IFERROR(__xludf.DUMMYFUNCTION("TEXTJOIN(
  "", "",
  TRUE,
  FILTER(
    $E$6:$E$35,
    FR$6:FR$35&lt;&gt;"""",
    LOWER(FR$6:FR$35)&lt;&gt;""gone""
  )
)
"),"4235035635, 4235035202, 4234325911, 4079732377, 4239035279, 9197494595, 8035463304, 4232809993, 9124860547, 2565686231")</f>
        <v>4235035635, 4235035202, 4234325911, 4079732377, 4239035279, 9197494595, 8035463304, 4232809993, 9124860547, 2565686231</v>
      </c>
      <c r="FS36" s="3" t="str">
        <f>IFERROR(__xludf.DUMMYFUNCTION("TEXTJOIN(
  "", "",
  TRUE,
  FILTER(
    $E$6:$E$35,
    FS$6:FS$35&lt;&gt;"""",
    LOWER(FS$6:FS$35)&lt;&gt;""gone""
  )
)
"),"4235035635, 4235035202, 4234325911, 4233151647, 4079732377, 4239035279, 9197494595, 8035463304, 4235805933, 9124860547, 7623957264")</f>
        <v>4235035635, 4235035202, 4234325911, 4233151647, 4079732377, 4239035279, 9197494595, 8035463304, 4235805933, 9124860547, 7623957264</v>
      </c>
      <c r="FT36" s="3" t="str">
        <f>IFERROR(__xludf.DUMMYFUNCTION("TEXTJOIN(
  "", "",
  TRUE,
  FILTER(
    $E$6:$E$35,
    FT$6:FT$35&lt;&gt;"""",
    LOWER(FT$6:FT$35)&lt;&gt;""gone""
  )
)
"),"4235035635, 4235035202, 2294132656, 4234325911, 4079732377, 4239035279, 8035463304, 4235805933, 9124860547, 2565686231")</f>
        <v>4235035635, 4235035202, 2294132656, 4234325911, 4079732377, 4239035279, 8035463304, 4235805933, 9124860547, 2565686231</v>
      </c>
      <c r="FU36" s="3" t="str">
        <f>IFERROR(__xludf.DUMMYFUNCTION("TEXTJOIN(
  "", "",
  TRUE,
  FILTER(
    $E$6:$E$35,
    FU$6:FU$35&lt;&gt;"""",
    LOWER(FU$6:FU$35)&lt;&gt;""gone""
  )
)
"),"4235035202, 8035463304, 9124860547, 2565686231")</f>
        <v>4235035202, 8035463304, 9124860547, 2565686231</v>
      </c>
      <c r="FV36" s="3" t="str">
        <f>IFERROR(__xludf.DUMMYFUNCTION("TEXTJOIN(
  "", "",
  TRUE,
  FILTER(
    $E$6:$E$35,
    FV$6:FV$35&lt;&gt;"""",
    LOWER(FV$6:FV$35)&lt;&gt;""gone""
  )
)
"),"5756356703, 4235035635, 4235035202, 4234325911, 4079732377, 9197494595, 8035463304, 4232809993")</f>
        <v>5756356703, 4235035635, 4235035202, 4234325911, 4079732377, 9197494595, 8035463304, 4232809993</v>
      </c>
      <c r="FW36" s="3" t="str">
        <f>IFERROR(__xludf.DUMMYFUNCTION("TEXTJOIN(
  "", "",
  TRUE,
  FILTER(
    $E$6:$E$35,
    FW$6:FW$35&lt;&gt;"""",
    LOWER(FW$6:FW$35)&lt;&gt;""gone""
  )
)
"),"4235035635, 4235035202, 2294132656, 4234325911, 4233151647, 4079732377, 4239035279, 8035463304, 4235805933, 2565686231")</f>
        <v>4235035635, 4235035202, 2294132656, 4234325911, 4233151647, 4079732377, 4239035279, 8035463304, 4235805933, 2565686231</v>
      </c>
      <c r="FX36" s="3" t="str">
        <f>IFERROR(__xludf.DUMMYFUNCTION("TEXTJOIN(
  "", "",
  TRUE,
  FILTER(
    $E$6:$E$35,
    FX$6:FX$35&lt;&gt;"""",
    LOWER(FX$6:FX$35)&lt;&gt;""gone""
  )
)
"),"4235035202, 8035463304, 4235805933, 4235980525, 4232809993, 2565686231")</f>
        <v>4235035202, 8035463304, 4235805933, 4235980525, 4232809993, 2565686231</v>
      </c>
      <c r="FY36" s="3" t="str">
        <f>IFERROR(__xludf.DUMMYFUNCTION("TEXTJOIN(
  "", "",
  TRUE,
  FILTER(
    $E$6:$E$35,
    FY$6:FY$35&lt;&gt;"""",
    LOWER(FY$6:FY$35)&lt;&gt;""gone""
  )
)
"),"4235035635, 4234325911, 4233151647, 4239035279, 9197494595, 8035463304, 2565686231")</f>
        <v>4235035635, 4234325911, 4233151647, 4239035279, 9197494595, 8035463304, 2565686231</v>
      </c>
      <c r="FZ36" s="3" t="str">
        <f>IFERROR(__xludf.DUMMYFUNCTION("TEXTJOIN(
  "", "",
  TRUE,
  FILTER(
    $E$6:$E$35,
    FZ$6:FZ$35&lt;&gt;"""",
    LOWER(FZ$6:FZ$35)&lt;&gt;""gone""
  )
)
"),"5756356703, 4235035635, 4235035202, 2294132656, 4234325911, 4079732377, 4239035279, 8035463304, 4235805933, 4235980525, 7065496109, 9124860547")</f>
        <v>5756356703, 4235035635, 4235035202, 2294132656, 4234325911, 4079732377, 4239035279, 8035463304, 4235805933, 4235980525, 7065496109, 9124860547</v>
      </c>
      <c r="GA36" s="3" t="str">
        <f>IFERROR(__xludf.DUMMYFUNCTION("TEXTJOIN(
  "", "",
  TRUE,
  FILTER(
    $E$6:$E$35,
    GA$6:GA$35&lt;&gt;"""",
    LOWER(GA$6:GA$35)&lt;&gt;""gone""
  )
)
"),"4235035635, 4235035202, 4234325911, 4079732377, 4239035279, 9197494595, 8035463304, 4235805933, 4235980525, 4232809993, 9124860547, 2565686231")</f>
        <v>4235035635, 4235035202, 4234325911, 4079732377, 4239035279, 9197494595, 8035463304, 4235805933, 4235980525, 4232809993, 9124860547, 2565686231</v>
      </c>
      <c r="GB36" s="3" t="str">
        <f>IFERROR(__xludf.DUMMYFUNCTION("TEXTJOIN(
  "", "",
  TRUE,
  FILTER(
    $E$6:$E$35,
    GB$6:GB$35&lt;&gt;"""",
    LOWER(GB$6:GB$35)&lt;&gt;""gone""
  )
)
"),"4235035635, 4235035202, 2294132656, 4234325911, 4233151647, 4239035279, 8035463304, 4235805933, 4235980525, 7065496109, 9124860547, 2565686231")</f>
        <v>4235035635, 4235035202, 2294132656, 4234325911, 4233151647, 4239035279, 8035463304, 4235805933, 4235980525, 7065496109, 9124860547, 2565686231</v>
      </c>
      <c r="GC36" s="3" t="str">
        <f>IFERROR(__xludf.DUMMYFUNCTION("TEXTJOIN(
  "", "",
  TRUE,
  FILTER(
    $E$6:$E$35,
    GC$6:GC$35&lt;&gt;"""",
    LOWER(GC$6:GC$35)&lt;&gt;""gone""
  )
)
"),"4235035635, 4235035202, 4079732377, 4239035279, 9197494595, 8035463304, 4235805933, 4235980525, 4232809993, 9124860547, 2565686231")</f>
        <v>4235035635, 4235035202, 4079732377, 4239035279, 9197494595, 8035463304, 4235805933, 4235980525, 4232809993, 9124860547, 2565686231</v>
      </c>
      <c r="GD36" s="3" t="str">
        <f>IFERROR(__xludf.DUMMYFUNCTION("TEXTJOIN(
  "", "",
  TRUE,
  FILTER(
    $E$6:$E$35,
    GD$6:GD$35&lt;&gt;"""",
    LOWER(GD$6:GD$35)&lt;&gt;""gone""
  )
)
"),"5756356703, 4235035635, 4235035202, 2294132656, 4234325911, 4239035279, 8035463304, 4235805933, 4235980525, 7065496109, 9124860547, 2565686231, 7623957264")</f>
        <v>5756356703, 4235035635, 4235035202, 2294132656, 4234325911, 4239035279, 8035463304, 4235805933, 4235980525, 7065496109, 9124860547, 2565686231, 7623957264</v>
      </c>
      <c r="GE36" s="3" t="str">
        <f>IFERROR(__xludf.DUMMYFUNCTION("TEXTJOIN(
  "", "",
  TRUE,
  FILTER(
    $E$6:$E$35,
    GE$6:GE$35&lt;&gt;"""",
    LOWER(GE$6:GE$35)&lt;&gt;""gone""
  )
)
"),"4235035635, 4235035202, 2294132656, 4234325911, 4079732377, 4239035279, 8035463304, 4235805933, 4235980525, 4232809993, 9124860547, 2565686231, 7623957264")</f>
        <v>4235035635, 4235035202, 2294132656, 4234325911, 4079732377, 4239035279, 8035463304, 4235805933, 4235980525, 4232809993, 9124860547, 2565686231, 7623957264</v>
      </c>
      <c r="GF36" s="3" t="str">
        <f>IFERROR(__xludf.DUMMYFUNCTION("TEXTJOIN(
  "", "",
  TRUE,
  FILTER(
    $E$6:$E$35,
    GF$6:GF$35&lt;&gt;"""",
    LOWER(GF$6:GF$35)&lt;&gt;""gone""
  )
)
"),"4235035635, 4235035202, 2294132656, 4234325911, 4233151647, 4079732377, 4239035279, 8035463304, 4235980525, 9124860547, 2565686231, 7623957264")</f>
        <v>4235035635, 4235035202, 2294132656, 4234325911, 4233151647, 4079732377, 4239035279, 8035463304, 4235980525, 9124860547, 2565686231, 7623957264</v>
      </c>
      <c r="GG36" s="3" t="str">
        <f>IFERROR(__xludf.DUMMYFUNCTION("TEXTJOIN(
  "", "",
  TRUE,
  FILTER(
    $E$6:$E$35,
    GG$6:GG$35&lt;&gt;"""",
    LOWER(GG$6:GG$35)&lt;&gt;""gone""
  )
)
"),"5756356703, 4235035635, 4234325911, 4079732377, 4239035279, 9197494595, 4235980525, 4232809993, 9124860547, 2565686231, 7623957264")</f>
        <v>5756356703, 4235035635, 4234325911, 4079732377, 4239035279, 9197494595, 4235980525, 4232809993, 9124860547, 2565686231, 7623957264</v>
      </c>
      <c r="GH36" s="3" t="str">
        <f>IFERROR(__xludf.DUMMYFUNCTION("TEXTJOIN(
  "", "",
  TRUE,
  FILTER(
    $E$6:$E$35,
    GH$6:GH$35&lt;&gt;"""",
    LOWER(GH$6:GH$35)&lt;&gt;""gone""
  )
)
"),"4235035635, 4235035202, 2294132656, 4234325911, 4079732377, 4239035279, 8035463304, 4235805933, 4235980525, 7065496109, 9124860547, 2565686231, 7623957264")</f>
        <v>4235035635, 4235035202, 2294132656, 4234325911, 4079732377, 4239035279, 8035463304, 4235805933, 4235980525, 7065496109, 9124860547, 2565686231, 7623957264</v>
      </c>
      <c r="GI36" s="3" t="str">
        <f>IFERROR(__xludf.DUMMYFUNCTION("TEXTJOIN(
  "", "",
  TRUE,
  FILTER(
    $E$6:$E$35,
    GI$6:GI$35&lt;&gt;"""",
    LOWER(GI$6:GI$35)&lt;&gt;""gone""
  )
)
"),"4235035635, 4235035202, 2294132656, 4234325911, 4233151647, 8035463304, 4235805933, 4235980525, 4232809993, 9124860547, 7623957264")</f>
        <v>4235035635, 4235035202, 2294132656, 4234325911, 4233151647, 8035463304, 4235805933, 4235980525, 4232809993, 9124860547, 7623957264</v>
      </c>
      <c r="GJ36" s="3" t="str">
        <f>IFERROR(__xludf.DUMMYFUNCTION("TEXTJOIN(
  "", "",
  TRUE,
  FILTER(
    $E$6:$E$35,
    GJ$6:GJ$35&lt;&gt;"""",
    LOWER(GJ$6:GJ$35)&lt;&gt;""gone""
  )
)
"),"5756356703, 4235035635, 4234325911, 4079732377, 4239035279, 9197494595, 4235805933, 7065496109, 2565686231, 7623957264")</f>
        <v>5756356703, 4235035635, 4234325911, 4079732377, 4239035279, 9197494595, 4235805933, 7065496109, 2565686231, 7623957264</v>
      </c>
      <c r="GK36" s="3" t="str">
        <f>IFERROR(__xludf.DUMMYFUNCTION("TEXTJOIN(
  "", "",
  TRUE,
  FILTER(
    $E$6:$E$35,
    GK$6:GK$35&lt;&gt;"""",
    LOWER(GK$6:GK$35)&lt;&gt;""gone""
  )
)
"),"4235035635, 4235035202, 4079732377, 4239035279, 4235805933, 4235980525, 9125123546, 9124860547, 8658095289, 7623957264")</f>
        <v>4235035635, 4235035202, 4079732377, 4239035279, 4235805933, 4235980525, 9125123546, 9124860547, 8658095289, 7623957264</v>
      </c>
      <c r="GL36" s="3" t="str">
        <f>IFERROR(__xludf.DUMMYFUNCTION("TEXTJOIN(
  "", "",
  TRUE,
  FILTER(
    $E$6:$E$35,
    GL$6:GL$35&lt;&gt;"""",
    LOWER(GL$6:GL$35)&lt;&gt;""gone""
  )
)
"),"4235035635, 4235035202, 4234325911, 4233151647, 4079732377, 4239035279, 9197494595, 8035463304, 4235805933, 4235980525, 7065496109, 4232809993, 9124860547, 2565686231")</f>
        <v>4235035635, 4235035202, 4234325911, 4233151647, 4079732377, 4239035279, 9197494595, 8035463304, 4235805933, 4235980525, 7065496109, 4232809993, 9124860547, 2565686231</v>
      </c>
      <c r="GM36" s="3" t="str">
        <f>IFERROR(__xludf.DUMMYFUNCTION("TEXTJOIN(
  "", "",
  TRUE,
  FILTER(
    $E$6:$E$35,
    GM$6:GM$35&lt;&gt;"""",
    LOWER(GM$6:GM$35)&lt;&gt;""gone""
  )
)
"),"4235035635, 4235035202, 4234325911, 4233151647, 4079732377, 4239035279, 8035463304, 4235805933, 4235980525, 4232809993, 9124860547, 8658095289")</f>
        <v>4235035635, 4235035202, 4234325911, 4233151647, 4079732377, 4239035279, 8035463304, 4235805933, 4235980525, 4232809993, 9124860547, 8658095289</v>
      </c>
      <c r="GN36" s="3" t="str">
        <f>IFERROR(__xludf.DUMMYFUNCTION("TEXTJOIN(
  "", "",
  TRUE,
  FILTER(
    $E$6:$E$35,
    GN$6:GN$35&lt;&gt;"""",
    LOWER(GN$6:GN$35)&lt;&gt;""gone""
  )
)
"),"5756356703, 4235035635, 4235035202, 2294132656, 4234325911, 4079732377, 4239035279, 8035463304, 4235805933, 4235980525, 7065496109, 4232809993, 9124860547, 7623957264")</f>
        <v>5756356703, 4235035635, 4235035202, 2294132656, 4234325911, 4079732377, 4239035279, 8035463304, 4235805933, 4235980525, 7065496109, 4232809993, 9124860547, 7623957264</v>
      </c>
      <c r="GO36" s="3" t="str">
        <f>IFERROR(__xludf.DUMMYFUNCTION("TEXTJOIN(
  "", "",
  TRUE,
  FILTER(
    $E$6:$E$35,
    GO$6:GO$35&lt;&gt;"""",
    LOWER(GO$6:GO$35)&lt;&gt;""gone""
  )
)
"),"4235035635, 4235035202, 4079732377, 4239035279, 9197494595, 8035463304, 4235805933, 4235980525, 4232809993, 8658095289, 2565686231, 7623957264")</f>
        <v>4235035635, 4235035202, 4079732377, 4239035279, 9197494595, 8035463304, 4235805933, 4235980525, 4232809993, 8658095289, 2565686231, 7623957264</v>
      </c>
      <c r="GP36" s="3" t="str">
        <f>IFERROR(__xludf.DUMMYFUNCTION("TEXTJOIN(
  "", "",
  TRUE,
  FILTER(
    $E$6:$E$35,
    GP$6:GP$35&lt;&gt;"""",
    LOWER(GP$6:GP$35)&lt;&gt;""gone""
  )
)
"),"4235035635, 4235035202, 2294132656, 4234325911, 4233151647, 4079732377, 4239035279, 8035463304, 4235805933, 4235980525, 7065496109, 9124860547, 7623957264")</f>
        <v>4235035635, 4235035202, 2294132656, 4234325911, 4233151647, 4079732377, 4239035279, 8035463304, 4235805933, 4235980525, 7065496109, 9124860547, 7623957264</v>
      </c>
      <c r="GQ36" s="3" t="str">
        <f>IFERROR(__xludf.DUMMYFUNCTION("TEXTJOIN(
  "", "",
  TRUE,
  FILTER(
    $E$6:$E$35,
    GQ$6:GQ$35&lt;&gt;"""",
    LOWER(GQ$6:GQ$35)&lt;&gt;""gone""
  )
)
"),"4235035635, 4235035202, 2294132656, 4234325911, 4233151647, 4079732377, 4239035279, 8035463304, 4235805933, 4235980525, 4232809993, 8658095289, 2565686231, 7623957264")</f>
        <v>4235035635, 4235035202, 2294132656, 4234325911, 4233151647, 4079732377, 4239035279, 8035463304, 4235805933, 4235980525, 4232809993, 8658095289, 2565686231, 7623957264</v>
      </c>
      <c r="GR36" s="3" t="str">
        <f>IFERROR(__xludf.DUMMYFUNCTION("TEXTJOIN(
  "", "",
  TRUE,
  FILTER(
    $E$6:$E$35,
    GR$6:GR$35&lt;&gt;"""",
    LOWER(GR$6:GR$35)&lt;&gt;""gone""
  )
)
"),"5756356703, 4235035635, 4235035202, 2294132656, 4234325911, 4239035279, 8035463304, 4235980525, 7065496109, 2565686231, 7623957264")</f>
        <v>5756356703, 4235035635, 4235035202, 2294132656, 4234325911, 4239035279, 8035463304, 4235980525, 7065496109, 2565686231, 7623957264</v>
      </c>
      <c r="GS36" s="3" t="str">
        <f>IFERROR(__xludf.DUMMYFUNCTION("TEXTJOIN(
  "", "",
  TRUE,
  FILTER(
    $E$6:$E$35,
    GS$6:GS$35&lt;&gt;"""",
    LOWER(GS$6:GS$35)&lt;&gt;""gone""
  )
)
"),"4235035635, 4235035202, 4234325911, 4233151647, 4079732377, 4239035279, 9197494595, 8035463304, 4235805933, 4235980525, 4232809993, 7623957264")</f>
        <v>4235035635, 4235035202, 4234325911, 4233151647, 4079732377, 4239035279, 9197494595, 8035463304, 4235805933, 4235980525, 4232809993, 7623957264</v>
      </c>
      <c r="GT36" s="3" t="str">
        <f>IFERROR(__xludf.DUMMYFUNCTION("TEXTJOIN(
  "", "",
  TRUE,
  FILTER(
    $E$6:$E$35,
    GT$6:GT$35&lt;&gt;"""",
    LOWER(GT$6:GT$35)&lt;&gt;""gone""
  )
)
"),"5756356703, 4235035635, 4235035202, 4234325911, 4079732377, 4239035279, 9197494595, 8035463304, 4235805933, 4235980525, 7065496109, 2565686231, 7623957264")</f>
        <v>5756356703, 4235035635, 4235035202, 4234325911, 4079732377, 4239035279, 9197494595, 8035463304, 4235805933, 4235980525, 7065496109, 2565686231, 7623957264</v>
      </c>
      <c r="GU36" s="3" t="str">
        <f>IFERROR(__xludf.DUMMYFUNCTION("TEXTJOIN(
  "", "",
  TRUE,
  FILTER(
    $E$6:$E$35,
    GU$6:GU$35&lt;&gt;"""",
    LOWER(GU$6:GU$35)&lt;&gt;""gone""
  )
)
"),"4235035635, 4235035202, 2294132656, 4079732377, 4239035279, 8035463304, 4235805933, 4235980525, 4232809993, 7623957264")</f>
        <v>4235035635, 4235035202, 2294132656, 4079732377, 4239035279, 8035463304, 4235805933, 4235980525, 4232809993, 7623957264</v>
      </c>
      <c r="GV36" s="3" t="str">
        <f>IFERROR(__xludf.DUMMYFUNCTION("TEXTJOIN(
  "", "",
  TRUE,
  FILTER(
    $E$6:$E$35,
    GV$6:GV$35&lt;&gt;"""",
    LOWER(GV$6:GV$35)&lt;&gt;""gone""
  )
)
"),"4235035202, 4234325911, 4233151647, 4079732377, 9197494595, 8035463304, 4232809993, 9124860547")</f>
        <v>4235035202, 4234325911, 4233151647, 4079732377, 9197494595, 8035463304, 4232809993, 9124860547</v>
      </c>
      <c r="GW36" s="3" t="str">
        <f>IFERROR(__xludf.DUMMYFUNCTION("TEXTJOIN(
  "", "",
  TRUE,
  FILTER(
    $E$6:$E$35,
    GW$6:GW$35&lt;&gt;"""",
    LOWER(GW$6:GW$35)&lt;&gt;""gone""
  )
)
"),"4235035635, 4235035202, 2294132656, 4234325911, 4233151647, 4079732377, 4239035279, 8035463304, 4235980525, 4232809993, 2565686231, 7623957264")</f>
        <v>4235035635, 4235035202, 2294132656, 4234325911, 4233151647, 4079732377, 4239035279, 8035463304, 4235980525, 4232809993, 2565686231, 7623957264</v>
      </c>
      <c r="GX36" s="3" t="str">
        <f>IFERROR(__xludf.DUMMYFUNCTION("TEXTJOIN(
  "", "",
  TRUE,
  FILTER(
    $E$6:$E$35,
    GX$6:GX$35&lt;&gt;"""",
    LOWER(GX$6:GX$35)&lt;&gt;""gone""
  )
)
"),"4235035635, 4235035202, 4234325911, 4233151647, 4239035279, 9197494595, 8035463304, 9124860547, 7623957264")</f>
        <v>4235035635, 4235035202, 4234325911, 4233151647, 4239035279, 9197494595, 8035463304, 9124860547, 7623957264</v>
      </c>
      <c r="GY36" s="3" t="str">
        <f>IFERROR(__xludf.DUMMYFUNCTION("TEXTJOIN(
  "", "",
  TRUE,
  FILTER(
    $E$6:$E$35,
    GY$6:GY$35&lt;&gt;"""",
    LOWER(GY$6:GY$35)&lt;&gt;""gone""
  )
)
"),"4235035635, 4235035202, 4079732377, 4239035279, 9197494595, 4235805933, 4235980525, 9124860547, 2565686231, 7623957264")</f>
        <v>4235035635, 4235035202, 4079732377, 4239035279, 9197494595, 4235805933, 4235980525, 9124860547, 2565686231, 7623957264</v>
      </c>
      <c r="GZ36" s="3" t="str">
        <f>IFERROR(__xludf.DUMMYFUNCTION("TEXTJOIN(
  "", "",
  TRUE,
  FILTER(
    $E$6:$E$35,
    GZ$6:GZ$35&lt;&gt;"""",
    LOWER(GZ$6:GZ$35)&lt;&gt;""gone""
  )
)
"),"4235035635, 4235035202, 2294132656, 4079732377, 4239035279, 4235805933, 4235980525, 9124860547, 2565686231, 7623957264")</f>
        <v>4235035635, 4235035202, 2294132656, 4079732377, 4239035279, 4235805933, 4235980525, 9124860547, 2565686231, 7623957264</v>
      </c>
      <c r="HA36" s="3" t="str">
        <f>IFERROR(__xludf.DUMMYFUNCTION("TEXTJOIN(
  "", "",
  TRUE,
  FILTER(
    $E$5:$E$35,
    HA$5:HA$35&lt;&gt;"""",
    LOWER(HA$5:HA$35)&lt;&gt;""gone""
  )
)
"),"4235035635, 4235035202, 2294132656, 4079732377, 4239035279, 8035463304, 4235805933, 4232809993, 9124860547")</f>
        <v>4235035635, 4235035202, 2294132656, 4079732377, 4239035279, 8035463304, 4235805933, 4232809993, 9124860547</v>
      </c>
      <c r="HB36" s="3" t="str">
        <f>IFERROR(__xludf.DUMMYFUNCTION("TEXTJOIN(
  "", "",
  TRUE,
  FILTER(
    $E$5:$E$35,
    HB$5:HB$35&lt;&gt;"""",
    LOWER(HB$5:HB$35)&lt;&gt;""gone""
  )
)
"),"9495256481, 5756356703, 4235035635, 4235035202, 2294132656, 4234325911, 4239035279, 8035463304, 4235805933, 9124860547, 2565686231")</f>
        <v>9495256481, 5756356703, 4235035635, 4235035202, 2294132656, 4234325911, 4239035279, 8035463304, 4235805933, 9124860547, 2565686231</v>
      </c>
      <c r="HC36" s="3" t="str">
        <f>IFERROR(__xludf.DUMMYFUNCTION("TEXTJOIN(
  "", "",
  TRUE,
  FILTER(
    $E$5:$E$35,
    HC$5:HC$35&lt;&gt;"""",
    LOWER(HC$5:HC$35)&lt;&gt;""gone""
  )
)
"),"9495256481, 4235035635, 4235035202, 4234325911, 4233151647, 4239035279, 9197494595, 8035463304, 4235805933, 4235980525, 9124860547, 2565686231, 7623957264")</f>
        <v>9495256481, 4235035635, 4235035202, 4234325911, 4233151647, 4239035279, 9197494595, 8035463304, 4235805933, 4235980525, 9124860547, 2565686231, 7623957264</v>
      </c>
      <c r="HD36" s="3" t="str">
        <f>IFERROR(__xludf.DUMMYFUNCTION("TEXTJOIN(
  "", "",
  TRUE,
  FILTER(
    $E$5:$E$35,
    HD$5:HD$35&lt;&gt;"""",
    LOWER(HD$5:HD$35)&lt;&gt;""gone""
  )
)
"),"4235035635, 4235035202, 4234325911, 4079732377, 4239035279, 9197494595, 8035463304, 4235805933, 4235980525, 9124860547, 7623957264")</f>
        <v>4235035635, 4235035202, 4234325911, 4079732377, 4239035279, 9197494595, 8035463304, 4235805933, 4235980525, 9124860547, 7623957264</v>
      </c>
      <c r="HE36" s="3" t="str">
        <f>IFERROR(__xludf.DUMMYFUNCTION("TEXTJOIN(
  "", "",
  TRUE,
  FILTER(
    $E$5:$E$35,
    HE$5:HE$35&lt;&gt;"""",
    LOWER(HE$5:HE$35)&lt;&gt;""gone""
  )
)
"),"4235035635, 4235035202, 2294132656, 4234325911, 4233151647, 4239035279, 8035463304, 4235805933, 9124860547")</f>
        <v>4235035635, 4235035202, 2294132656, 4234325911, 4233151647, 4239035279, 8035463304, 4235805933, 9124860547</v>
      </c>
      <c r="HF36" s="3" t="str">
        <f>IFERROR(__xludf.DUMMYFUNCTION("TEXTJOIN(
  "", "",
  TRUE,
  FILTER(
    $E$5:$E$35,
    HF$5:HF$35&lt;&gt;"""",
    LOWER(HF$5:HF$35)&lt;&gt;""gone""
  )
)
"),"9495256481, 5756356703, 4235035635, 4234325911, 4239035279, 9197494595, 8035463304, 9124860547")</f>
        <v>9495256481, 5756356703, 4235035635, 4234325911, 4239035279, 9197494595, 8035463304, 9124860547</v>
      </c>
      <c r="HG36" s="3" t="str">
        <f>IFERROR(__xludf.DUMMYFUNCTION("TEXTJOIN(
  "", "",
  TRUE,
  FILTER(
    $E$5:$E$35,
    HG$5:HG$35&lt;&gt;"""",
    LOWER(HG$5:HG$35)&lt;&gt;""gone""
  )
)
"),"9495256481, 4235035635, 4235035202, 4234325911, 4233151647, 4079732377, 4239035279, 8035463304, 9125123546")</f>
        <v>9495256481, 4235035635, 4235035202, 4234325911, 4233151647, 4079732377, 4239035279, 8035463304, 9125123546</v>
      </c>
      <c r="HH36" s="3" t="str">
        <f>IFERROR(__xludf.DUMMYFUNCTION("TEXTJOIN(
  "", "",
  TRUE,
  FILTER(
    $E$5:$E$35,
    HH$5:HH$35&lt;&gt;"""",
    LOWER(HH$5:HH$35)&lt;&gt;""gone""
  )
)
"),"9495256481, 4235035635, 4235035202, 4079732377, 4239035279, 8035463304")</f>
        <v>9495256481, 4235035635, 4235035202, 4079732377, 4239035279, 8035463304</v>
      </c>
      <c r="HI36" s="3" t="str">
        <f>IFERROR(__xludf.DUMMYFUNCTION("TEXTJOIN(
  "", "",
  TRUE,
  FILTER(
    $E$5:$E$35,
    HI$5:HI$35&lt;&gt;"""",
    LOWER(HI$5:HI$35)&lt;&gt;""gone""
  )
)
"),"4235035635, 4235035202, 4234325911, 4079732377, 4239035279, 8035463304, 4235980525")</f>
        <v>4235035635, 4235035202, 4234325911, 4079732377, 4239035279, 8035463304, 4235980525</v>
      </c>
      <c r="HJ36" s="3" t="str">
        <f>IFERROR(__xludf.DUMMYFUNCTION("TEXTJOIN(
  "", "",
  TRUE,
  FILTER(
    $E$5:$E$35,
    HJ$5:HJ$35&lt;&gt;"""",
    LOWER(HJ$5:HJ$35)&lt;&gt;""gone""
  )
)
"),"4235035635, 4235035202, 4234325911, 4239035279, 8035463304, 9124860547")</f>
        <v>4235035635, 4235035202, 4234325911, 4239035279, 8035463304, 9124860547</v>
      </c>
      <c r="HK36" s="3" t="str">
        <f>IFERROR(__xludf.DUMMYFUNCTION("TEXTJOIN(
  "", "",
  TRUE,
  FILTER(
    $E$5:$E$35,
    HK$5:HK$35&lt;&gt;"""",
    LOWER(HK$5:HK$35)&lt;&gt;""gone""
  )
)
"),"9495256481, 4235035635, 4235035202, 4234325911, 4239035279, 8035463304")</f>
        <v>9495256481, 4235035635, 4235035202, 4234325911, 4239035279, 8035463304</v>
      </c>
      <c r="HL36" s="3" t="str">
        <f>IFERROR(__xludf.DUMMYFUNCTION("TEXTJOIN(
  "", "",
  TRUE,
  FILTER(
    $E$5:$E$35,
    HL$5:HL$35&lt;&gt;"""",
    LOWER(HL$5:HL$35)&lt;&gt;""gone""
  )
)
"),"4235035635, 4235035202, 4234325911, 4239035279, 8035463304")</f>
        <v>4235035635, 4235035202, 4234325911, 4239035279, 8035463304</v>
      </c>
      <c r="HM36" s="3" t="str">
        <f>IFERROR(__xludf.DUMMYFUNCTION("TEXTJOIN(
  "", "",
  TRUE,
  FILTER(
    $E$5:$E$35,
    HM$5:HM$35&lt;&gt;"""",
    LOWER(HM$5:HM$35)&lt;&gt;""gone""
  )
)
"),"4235035635, 4235035202, 4234325911, 4239035279, 8035463304")</f>
        <v>4235035635, 4235035202, 4234325911, 4239035279, 8035463304</v>
      </c>
      <c r="HN36" s="3" t="str">
        <f>IFERROR(__xludf.DUMMYFUNCTION("TEXTJOIN(
  "", "",
  TRUE,
  FILTER(
    $E$5:$E$35,
    HN$5:HN$35&lt;&gt;"""",
    LOWER(HN$5:HN$35)&lt;&gt;""gone""
  )
)
"),"4235035202")</f>
        <v>4235035202</v>
      </c>
      <c r="HO36" s="3" t="str">
        <f>IFERROR(__xludf.DUMMYFUNCTION("TEXTJOIN(
  "", "",
  TRUE,
  FILTER(
    $E$5:$E$35,
    HO$5:HO$35&lt;&gt;"""",
    LOWER(HO$5:HO$35)&lt;&gt;""gone""
  )
)
"),"4235035202")</f>
        <v>4235035202</v>
      </c>
      <c r="HP36" s="3" t="str">
        <f>IFERROR(__xludf.DUMMYFUNCTION("TEXTJOIN(
  "", "",
  TRUE,
  FILTER(
    $E$5:$E$35,
    HP$5:HP$35&lt;&gt;"""",
    LOWER(HP$5:HP$35)&lt;&gt;""gone""
  )
)
"),"4235035202")</f>
        <v>4235035202</v>
      </c>
      <c r="HQ36" s="3" t="str">
        <f>IFERROR(__xludf.DUMMYFUNCTION("TEXTJOIN(
  "", "",
  TRUE,
  FILTER(
    $E$5:$E$35,
    HQ$5:HQ$35&lt;&gt;"""",
    LOWER(HQ$5:HQ$35)&lt;&gt;""gone""
  )
)
"),"4235035202")</f>
        <v>4235035202</v>
      </c>
      <c r="HR36" s="3" t="str">
        <f>IFERROR(__xludf.DUMMYFUNCTION("TEXTJOIN(
  "", "",
  TRUE,
  FILTER(
    $E$5:$E$35,
    HR$5:HR$35&lt;&gt;"""",
    LOWER(HR$5:HR$35)&lt;&gt;""gone""
  )
)
"),"4235035202")</f>
        <v>4235035202</v>
      </c>
      <c r="HS36" s="3" t="str">
        <f>IFERROR(__xludf.DUMMYFUNCTION("TEXTJOIN(
  "", "",
  TRUE,
  FILTER(
    $E$5:$E$35,
    HS$5:HS$35&lt;&gt;"""",
    LOWER(HS$5:HS$35)&lt;&gt;""gone""
  )
)
"),"4235035202")</f>
        <v>4235035202</v>
      </c>
      <c r="HT36" s="3" t="str">
        <f>IFERROR(__xludf.DUMMYFUNCTION("TEXTJOIN(
  "", "",
  TRUE,
  FILTER(
    $E$5:$E$35,
    HT$5:HT$35&lt;&gt;"""",
    LOWER(HT$5:HT$35)&lt;&gt;""gone""
  )
)
"),"4235035202")</f>
        <v>4235035202</v>
      </c>
    </row>
    <row r="37">
      <c r="A37" s="14"/>
      <c r="B37" s="3"/>
      <c r="C37" s="3"/>
      <c r="D37" s="3"/>
      <c r="E37" s="3"/>
      <c r="F37" s="5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7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</row>
    <row r="38">
      <c r="A38" s="14"/>
      <c r="B38" s="3"/>
      <c r="C38" s="3"/>
      <c r="D38" s="3"/>
      <c r="E38" s="3"/>
      <c r="F38" s="5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7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</row>
    <row r="39">
      <c r="A39" s="14"/>
      <c r="B39" s="3"/>
      <c r="C39" s="3"/>
      <c r="D39" s="3"/>
      <c r="E39" s="3"/>
      <c r="F39" s="5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7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</row>
    <row r="40">
      <c r="A40" s="14"/>
      <c r="B40" s="3"/>
      <c r="C40" s="3"/>
      <c r="D40" s="3"/>
      <c r="E40" s="3"/>
      <c r="F40" s="5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7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</row>
    <row r="41">
      <c r="A41" s="14"/>
      <c r="B41" s="3"/>
      <c r="C41" s="3"/>
      <c r="D41" s="3"/>
      <c r="E41" s="3"/>
      <c r="F41" s="5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7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</row>
    <row r="42">
      <c r="A42" s="14"/>
      <c r="B42" s="3"/>
      <c r="C42" s="3"/>
      <c r="D42" s="3"/>
      <c r="E42" s="3"/>
      <c r="F42" s="5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7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</row>
    <row r="43">
      <c r="A43" s="14"/>
      <c r="B43" s="3"/>
      <c r="C43" s="3"/>
      <c r="D43" s="3"/>
      <c r="E43" s="3"/>
      <c r="F43" s="5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7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</row>
    <row r="44">
      <c r="A44" s="14"/>
      <c r="B44" s="3"/>
      <c r="C44" s="3"/>
      <c r="D44" s="3"/>
      <c r="E44" s="3"/>
      <c r="F44" s="5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7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</row>
    <row r="45">
      <c r="A45" s="14"/>
      <c r="B45" s="3"/>
      <c r="C45" s="3"/>
      <c r="D45" s="3"/>
      <c r="E45" s="3"/>
      <c r="F45" s="5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7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</row>
    <row r="46">
      <c r="A46" s="14"/>
      <c r="B46" s="3"/>
      <c r="C46" s="3"/>
      <c r="D46" s="3"/>
      <c r="E46" s="3"/>
      <c r="F46" s="5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7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</row>
    <row r="47">
      <c r="A47" s="14"/>
      <c r="B47" s="3"/>
      <c r="C47" s="3"/>
      <c r="D47" s="3"/>
      <c r="E47" s="3"/>
      <c r="F47" s="5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7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</row>
    <row r="48">
      <c r="A48" s="14"/>
      <c r="B48" s="3"/>
      <c r="C48" s="3"/>
      <c r="D48" s="3"/>
      <c r="E48" s="3"/>
      <c r="F48" s="5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7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</row>
    <row r="49">
      <c r="A49" s="14"/>
      <c r="B49" s="3"/>
      <c r="C49" s="3"/>
      <c r="D49" s="3"/>
      <c r="E49" s="3"/>
      <c r="F49" s="5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7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</row>
    <row r="50">
      <c r="A50" s="14"/>
      <c r="B50" s="3"/>
      <c r="C50" s="3"/>
      <c r="D50" s="3"/>
      <c r="E50" s="3"/>
      <c r="F50" s="5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7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</row>
    <row r="51">
      <c r="A51" s="14"/>
      <c r="B51" s="3"/>
      <c r="C51" s="3"/>
      <c r="D51" s="3"/>
      <c r="E51" s="3"/>
      <c r="F51" s="5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7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</row>
    <row r="52">
      <c r="A52" s="14"/>
      <c r="B52" s="3"/>
      <c r="C52" s="3"/>
      <c r="D52" s="3"/>
      <c r="E52" s="3"/>
      <c r="F52" s="5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7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</row>
    <row r="53">
      <c r="A53" s="14"/>
      <c r="B53" s="3"/>
      <c r="C53" s="3"/>
      <c r="D53" s="3"/>
      <c r="E53" s="3"/>
      <c r="F53" s="5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7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</row>
    <row r="54">
      <c r="A54" s="14"/>
      <c r="B54" s="3"/>
      <c r="C54" s="3"/>
      <c r="D54" s="3"/>
      <c r="E54" s="3"/>
      <c r="F54" s="5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7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</row>
    <row r="55">
      <c r="A55" s="14"/>
      <c r="B55" s="3"/>
      <c r="C55" s="3"/>
      <c r="D55" s="3"/>
      <c r="E55" s="3"/>
      <c r="F55" s="5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7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</row>
    <row r="56">
      <c r="A56" s="14"/>
      <c r="B56" s="3"/>
      <c r="C56" s="3"/>
      <c r="D56" s="3"/>
      <c r="E56" s="3"/>
      <c r="F56" s="5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7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</row>
    <row r="57">
      <c r="A57" s="14"/>
      <c r="B57" s="3"/>
      <c r="C57" s="3"/>
      <c r="D57" s="3"/>
      <c r="E57" s="3"/>
      <c r="F57" s="5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7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</row>
    <row r="58">
      <c r="A58" s="14"/>
      <c r="B58" s="3"/>
      <c r="C58" s="3"/>
      <c r="D58" s="3"/>
      <c r="E58" s="3"/>
      <c r="F58" s="5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7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</row>
    <row r="59">
      <c r="A59" s="14"/>
      <c r="B59" s="3"/>
      <c r="C59" s="3"/>
      <c r="D59" s="3"/>
      <c r="E59" s="3"/>
      <c r="F59" s="5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7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</row>
    <row r="60">
      <c r="A60" s="14"/>
      <c r="B60" s="3"/>
      <c r="C60" s="3"/>
      <c r="D60" s="3"/>
      <c r="E60" s="3"/>
      <c r="F60" s="5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7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</row>
    <row r="61">
      <c r="A61" s="14"/>
      <c r="B61" s="3"/>
      <c r="C61" s="3"/>
      <c r="D61" s="3"/>
      <c r="E61" s="3"/>
      <c r="F61" s="5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7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</row>
    <row r="62">
      <c r="A62" s="14"/>
      <c r="B62" s="3"/>
      <c r="C62" s="3"/>
      <c r="D62" s="3"/>
      <c r="E62" s="3"/>
      <c r="F62" s="5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7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</row>
    <row r="63">
      <c r="A63" s="14"/>
      <c r="B63" s="3"/>
      <c r="C63" s="3"/>
      <c r="D63" s="3"/>
      <c r="E63" s="3"/>
      <c r="F63" s="5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7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</row>
    <row r="64">
      <c r="A64" s="14"/>
      <c r="B64" s="3"/>
      <c r="C64" s="3"/>
      <c r="D64" s="3"/>
      <c r="E64" s="3"/>
      <c r="F64" s="5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7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</row>
    <row r="65">
      <c r="A65" s="14"/>
      <c r="B65" s="3"/>
      <c r="C65" s="3"/>
      <c r="D65" s="3"/>
      <c r="E65" s="3"/>
      <c r="F65" s="5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7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</row>
    <row r="66">
      <c r="A66" s="14"/>
      <c r="B66" s="3"/>
      <c r="C66" s="3"/>
      <c r="D66" s="3"/>
      <c r="E66" s="3"/>
      <c r="F66" s="5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7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</row>
    <row r="67">
      <c r="A67" s="14"/>
      <c r="B67" s="3"/>
      <c r="C67" s="3"/>
      <c r="D67" s="3"/>
      <c r="E67" s="3"/>
      <c r="F67" s="5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7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</row>
    <row r="68">
      <c r="A68" s="14"/>
      <c r="B68" s="3"/>
      <c r="C68" s="3"/>
      <c r="D68" s="3"/>
      <c r="E68" s="3"/>
      <c r="F68" s="5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7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</row>
    <row r="69">
      <c r="A69" s="14"/>
      <c r="B69" s="3"/>
      <c r="C69" s="3"/>
      <c r="D69" s="3"/>
      <c r="E69" s="3"/>
      <c r="F69" s="5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7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</row>
    <row r="70">
      <c r="A70" s="14"/>
      <c r="B70" s="3"/>
      <c r="C70" s="3"/>
      <c r="D70" s="3"/>
      <c r="E70" s="3"/>
      <c r="F70" s="5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7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</row>
    <row r="71">
      <c r="A71" s="14"/>
      <c r="B71" s="3"/>
      <c r="C71" s="3"/>
      <c r="D71" s="3"/>
      <c r="E71" s="3"/>
      <c r="F71" s="5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7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</row>
    <row r="72">
      <c r="A72" s="14"/>
      <c r="B72" s="3"/>
      <c r="C72" s="3"/>
      <c r="D72" s="3"/>
      <c r="E72" s="3"/>
      <c r="F72" s="5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7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</row>
    <row r="73">
      <c r="A73" s="14"/>
      <c r="B73" s="3"/>
      <c r="C73" s="3"/>
      <c r="D73" s="3"/>
      <c r="E73" s="3"/>
      <c r="F73" s="5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7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</row>
    <row r="74">
      <c r="A74" s="14"/>
      <c r="B74" s="3"/>
      <c r="C74" s="3"/>
      <c r="D74" s="3"/>
      <c r="E74" s="3"/>
      <c r="F74" s="5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7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</row>
    <row r="75">
      <c r="A75" s="14"/>
      <c r="B75" s="3"/>
      <c r="C75" s="3"/>
      <c r="D75" s="3"/>
      <c r="E75" s="3"/>
      <c r="F75" s="5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7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</row>
    <row r="76">
      <c r="A76" s="14"/>
      <c r="B76" s="3"/>
      <c r="C76" s="3"/>
      <c r="D76" s="3"/>
      <c r="E76" s="3"/>
      <c r="F76" s="5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7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</row>
    <row r="77">
      <c r="A77" s="14"/>
      <c r="B77" s="3"/>
      <c r="C77" s="3"/>
      <c r="D77" s="3"/>
      <c r="E77" s="3"/>
      <c r="F77" s="5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7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</row>
    <row r="78">
      <c r="A78" s="14"/>
      <c r="B78" s="3"/>
      <c r="C78" s="3"/>
      <c r="D78" s="3"/>
      <c r="E78" s="3"/>
      <c r="F78" s="5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7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</row>
    <row r="79">
      <c r="A79" s="14"/>
      <c r="B79" s="3"/>
      <c r="C79" s="3"/>
      <c r="D79" s="3"/>
      <c r="E79" s="3"/>
      <c r="F79" s="5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7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</row>
    <row r="80">
      <c r="A80" s="14"/>
      <c r="B80" s="3"/>
      <c r="C80" s="3"/>
      <c r="D80" s="3"/>
      <c r="E80" s="3"/>
      <c r="F80" s="5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7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</row>
    <row r="81">
      <c r="A81" s="14"/>
      <c r="B81" s="3"/>
      <c r="C81" s="3"/>
      <c r="D81" s="3"/>
      <c r="E81" s="3"/>
      <c r="F81" s="5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7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</row>
    <row r="82">
      <c r="A82" s="14"/>
      <c r="B82" s="3"/>
      <c r="C82" s="3"/>
      <c r="D82" s="3"/>
      <c r="E82" s="3"/>
      <c r="F82" s="5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7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</row>
    <row r="83">
      <c r="A83" s="14"/>
      <c r="B83" s="3"/>
      <c r="C83" s="3"/>
      <c r="D83" s="3"/>
      <c r="E83" s="3"/>
      <c r="F83" s="5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7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</row>
    <row r="84">
      <c r="A84" s="14"/>
      <c r="B84" s="3"/>
      <c r="C84" s="3"/>
      <c r="D84" s="3"/>
      <c r="E84" s="3"/>
      <c r="F84" s="5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7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</row>
    <row r="85">
      <c r="A85" s="14"/>
      <c r="B85" s="3"/>
      <c r="C85" s="3"/>
      <c r="D85" s="3"/>
      <c r="E85" s="3"/>
      <c r="F85" s="5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7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</row>
    <row r="86">
      <c r="A86" s="14"/>
      <c r="B86" s="3"/>
      <c r="C86" s="3"/>
      <c r="D86" s="3"/>
      <c r="E86" s="3"/>
      <c r="F86" s="5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7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</row>
    <row r="87">
      <c r="A87" s="14"/>
      <c r="B87" s="3"/>
      <c r="C87" s="3"/>
      <c r="D87" s="3"/>
      <c r="E87" s="3"/>
      <c r="F87" s="5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7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</row>
    <row r="88">
      <c r="A88" s="14"/>
      <c r="B88" s="3"/>
      <c r="C88" s="3"/>
      <c r="D88" s="3"/>
      <c r="E88" s="3"/>
      <c r="F88" s="5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7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</row>
    <row r="89">
      <c r="A89" s="14"/>
      <c r="B89" s="3"/>
      <c r="C89" s="3"/>
      <c r="D89" s="3"/>
      <c r="E89" s="3"/>
      <c r="F89" s="5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7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</row>
    <row r="90">
      <c r="A90" s="14"/>
      <c r="B90" s="3"/>
      <c r="C90" s="3"/>
      <c r="D90" s="3"/>
      <c r="E90" s="3"/>
      <c r="F90" s="5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7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</row>
    <row r="91">
      <c r="A91" s="14"/>
      <c r="B91" s="3"/>
      <c r="C91" s="3"/>
      <c r="D91" s="3"/>
      <c r="E91" s="3"/>
      <c r="F91" s="5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7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</row>
    <row r="92">
      <c r="A92" s="14"/>
      <c r="B92" s="3"/>
      <c r="C92" s="3"/>
      <c r="D92" s="3"/>
      <c r="E92" s="3"/>
      <c r="F92" s="5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7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</row>
    <row r="93">
      <c r="A93" s="14"/>
      <c r="B93" s="3"/>
      <c r="C93" s="3"/>
      <c r="D93" s="3"/>
      <c r="E93" s="3"/>
      <c r="F93" s="5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7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</row>
    <row r="94">
      <c r="A94" s="14"/>
      <c r="B94" s="3"/>
      <c r="C94" s="3"/>
      <c r="D94" s="3"/>
      <c r="E94" s="3"/>
      <c r="F94" s="5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7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</row>
    <row r="95">
      <c r="A95" s="14"/>
      <c r="B95" s="3"/>
      <c r="C95" s="3"/>
      <c r="D95" s="3"/>
      <c r="E95" s="3"/>
      <c r="F95" s="5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7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</row>
    <row r="96">
      <c r="A96" s="14"/>
      <c r="B96" s="3"/>
      <c r="C96" s="3"/>
      <c r="D96" s="3"/>
      <c r="E96" s="3"/>
      <c r="F96" s="5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7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</row>
    <row r="97">
      <c r="A97" s="14"/>
      <c r="B97" s="3"/>
      <c r="C97" s="3"/>
      <c r="D97" s="3"/>
      <c r="E97" s="3"/>
      <c r="F97" s="5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7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</row>
    <row r="98">
      <c r="A98" s="14"/>
      <c r="B98" s="3"/>
      <c r="C98" s="3"/>
      <c r="D98" s="3"/>
      <c r="E98" s="3"/>
      <c r="F98" s="5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7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</row>
    <row r="99">
      <c r="A99" s="14"/>
      <c r="B99" s="3"/>
      <c r="C99" s="3"/>
      <c r="D99" s="3"/>
      <c r="E99" s="3"/>
      <c r="F99" s="5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7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</row>
    <row r="100">
      <c r="A100" s="14"/>
      <c r="B100" s="3"/>
      <c r="C100" s="3"/>
      <c r="D100" s="3"/>
      <c r="E100" s="3"/>
      <c r="F100" s="5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7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</row>
    <row r="101">
      <c r="A101" s="14"/>
      <c r="B101" s="3"/>
      <c r="C101" s="3"/>
      <c r="D101" s="3"/>
      <c r="E101" s="3"/>
      <c r="F101" s="5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7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</row>
    <row r="102">
      <c r="A102" s="14"/>
      <c r="B102" s="3"/>
      <c r="C102" s="3"/>
      <c r="D102" s="3"/>
      <c r="E102" s="3"/>
      <c r="F102" s="5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7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</row>
    <row r="103">
      <c r="A103" s="14"/>
      <c r="B103" s="3"/>
      <c r="C103" s="3"/>
      <c r="D103" s="3"/>
      <c r="E103" s="3"/>
      <c r="F103" s="5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7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</row>
    <row r="104">
      <c r="A104" s="14"/>
      <c r="B104" s="3"/>
      <c r="C104" s="3"/>
      <c r="D104" s="3"/>
      <c r="E104" s="3"/>
      <c r="F104" s="5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7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</row>
    <row r="105">
      <c r="A105" s="14"/>
      <c r="B105" s="3"/>
      <c r="C105" s="3"/>
      <c r="D105" s="3"/>
      <c r="E105" s="3"/>
      <c r="F105" s="5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7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</row>
    <row r="106">
      <c r="A106" s="14"/>
      <c r="B106" s="3"/>
      <c r="C106" s="3"/>
      <c r="D106" s="3"/>
      <c r="E106" s="3"/>
      <c r="F106" s="5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7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</row>
    <row r="107">
      <c r="A107" s="14"/>
      <c r="B107" s="3"/>
      <c r="C107" s="3"/>
      <c r="D107" s="3"/>
      <c r="E107" s="3"/>
      <c r="F107" s="5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7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</row>
    <row r="108">
      <c r="A108" s="14"/>
      <c r="B108" s="3"/>
      <c r="C108" s="3"/>
      <c r="D108" s="3"/>
      <c r="E108" s="3"/>
      <c r="F108" s="5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7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</row>
    <row r="109">
      <c r="A109" s="14"/>
      <c r="B109" s="3"/>
      <c r="C109" s="3"/>
      <c r="D109" s="3"/>
      <c r="E109" s="3"/>
      <c r="F109" s="5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7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</row>
    <row r="110">
      <c r="A110" s="14"/>
      <c r="B110" s="3"/>
      <c r="C110" s="3"/>
      <c r="D110" s="3"/>
      <c r="E110" s="3"/>
      <c r="F110" s="5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7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</row>
    <row r="111">
      <c r="A111" s="14"/>
      <c r="B111" s="3"/>
      <c r="C111" s="3"/>
      <c r="D111" s="3"/>
      <c r="E111" s="3"/>
      <c r="F111" s="5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7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</row>
    <row r="112">
      <c r="A112" s="14"/>
      <c r="B112" s="3"/>
      <c r="C112" s="3"/>
      <c r="D112" s="3"/>
      <c r="E112" s="3"/>
      <c r="F112" s="5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7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</row>
    <row r="113">
      <c r="A113" s="14"/>
      <c r="B113" s="3"/>
      <c r="C113" s="3"/>
      <c r="D113" s="3"/>
      <c r="E113" s="3"/>
      <c r="F113" s="5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7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</row>
    <row r="114">
      <c r="A114" s="14"/>
      <c r="B114" s="3"/>
      <c r="C114" s="3"/>
      <c r="D114" s="3"/>
      <c r="E114" s="3"/>
      <c r="F114" s="5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7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</row>
    <row r="115">
      <c r="A115" s="14"/>
      <c r="B115" s="3"/>
      <c r="C115" s="3"/>
      <c r="D115" s="3"/>
      <c r="E115" s="3"/>
      <c r="F115" s="5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7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</row>
    <row r="116">
      <c r="A116" s="14"/>
      <c r="B116" s="3"/>
      <c r="C116" s="3"/>
      <c r="D116" s="3"/>
      <c r="E116" s="3"/>
      <c r="F116" s="5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7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</row>
    <row r="117">
      <c r="A117" s="14"/>
      <c r="B117" s="3"/>
      <c r="C117" s="3"/>
      <c r="D117" s="3"/>
      <c r="E117" s="3"/>
      <c r="F117" s="5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7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</row>
    <row r="118">
      <c r="A118" s="14"/>
      <c r="B118" s="3"/>
      <c r="C118" s="3"/>
      <c r="D118" s="3"/>
      <c r="E118" s="3"/>
      <c r="F118" s="5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7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</row>
    <row r="119">
      <c r="A119" s="14"/>
      <c r="B119" s="3"/>
      <c r="C119" s="3"/>
      <c r="D119" s="3"/>
      <c r="E119" s="3"/>
      <c r="F119" s="5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7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</row>
    <row r="120">
      <c r="A120" s="14"/>
      <c r="B120" s="3"/>
      <c r="C120" s="3"/>
      <c r="D120" s="3"/>
      <c r="E120" s="3"/>
      <c r="F120" s="5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7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</row>
    <row r="121">
      <c r="A121" s="14"/>
      <c r="B121" s="3"/>
      <c r="C121" s="3"/>
      <c r="D121" s="3"/>
      <c r="E121" s="3"/>
      <c r="F121" s="5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7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</row>
    <row r="122">
      <c r="A122" s="14"/>
      <c r="B122" s="3"/>
      <c r="C122" s="3"/>
      <c r="D122" s="3"/>
      <c r="E122" s="3"/>
      <c r="F122" s="5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7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</row>
    <row r="123">
      <c r="A123" s="14"/>
      <c r="B123" s="3"/>
      <c r="C123" s="3"/>
      <c r="D123" s="3"/>
      <c r="E123" s="3"/>
      <c r="F123" s="5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7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</row>
    <row r="124">
      <c r="A124" s="14"/>
      <c r="B124" s="3"/>
      <c r="C124" s="3"/>
      <c r="D124" s="3"/>
      <c r="E124" s="3"/>
      <c r="F124" s="5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7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</row>
    <row r="125">
      <c r="A125" s="14"/>
      <c r="B125" s="3"/>
      <c r="C125" s="3"/>
      <c r="D125" s="3"/>
      <c r="E125" s="3"/>
      <c r="F125" s="5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7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</row>
    <row r="126">
      <c r="A126" s="14"/>
      <c r="B126" s="3"/>
      <c r="C126" s="3"/>
      <c r="D126" s="3"/>
      <c r="E126" s="3"/>
      <c r="F126" s="5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7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</row>
    <row r="127">
      <c r="A127" s="14"/>
      <c r="B127" s="3"/>
      <c r="C127" s="3"/>
      <c r="D127" s="3"/>
      <c r="E127" s="3"/>
      <c r="F127" s="5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7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</row>
    <row r="128">
      <c r="A128" s="14"/>
      <c r="B128" s="3"/>
      <c r="C128" s="3"/>
      <c r="D128" s="3"/>
      <c r="E128" s="3"/>
      <c r="F128" s="5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7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</row>
    <row r="129">
      <c r="A129" s="14"/>
      <c r="B129" s="3"/>
      <c r="C129" s="3"/>
      <c r="D129" s="3"/>
      <c r="E129" s="3"/>
      <c r="F129" s="5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7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</row>
    <row r="130">
      <c r="A130" s="14"/>
      <c r="B130" s="3"/>
      <c r="C130" s="3"/>
      <c r="D130" s="3"/>
      <c r="E130" s="3"/>
      <c r="F130" s="5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7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</row>
    <row r="131">
      <c r="A131" s="14"/>
      <c r="B131" s="3"/>
      <c r="C131" s="3"/>
      <c r="D131" s="3"/>
      <c r="E131" s="3"/>
      <c r="F131" s="5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7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</row>
    <row r="132">
      <c r="A132" s="14"/>
      <c r="B132" s="3"/>
      <c r="C132" s="3"/>
      <c r="D132" s="3"/>
      <c r="E132" s="3"/>
      <c r="F132" s="5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7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</row>
    <row r="133">
      <c r="A133" s="14"/>
      <c r="B133" s="3"/>
      <c r="C133" s="3"/>
      <c r="D133" s="3"/>
      <c r="E133" s="3"/>
      <c r="F133" s="5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7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</row>
    <row r="134">
      <c r="A134" s="14"/>
      <c r="B134" s="3"/>
      <c r="C134" s="3"/>
      <c r="D134" s="3"/>
      <c r="E134" s="3"/>
      <c r="F134" s="5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7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</row>
    <row r="135">
      <c r="A135" s="14"/>
      <c r="B135" s="3"/>
      <c r="C135" s="3"/>
      <c r="D135" s="3"/>
      <c r="E135" s="3"/>
      <c r="F135" s="5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7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</row>
    <row r="136">
      <c r="A136" s="14"/>
      <c r="B136" s="3"/>
      <c r="C136" s="3"/>
      <c r="D136" s="3"/>
      <c r="E136" s="3"/>
      <c r="F136" s="5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7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</row>
    <row r="137">
      <c r="A137" s="14"/>
      <c r="B137" s="3"/>
      <c r="C137" s="3"/>
      <c r="D137" s="3"/>
      <c r="E137" s="3"/>
      <c r="F137" s="5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7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</row>
    <row r="138">
      <c r="A138" s="14"/>
      <c r="B138" s="3"/>
      <c r="C138" s="3"/>
      <c r="D138" s="3"/>
      <c r="E138" s="3"/>
      <c r="F138" s="5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7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</row>
    <row r="139">
      <c r="A139" s="14"/>
      <c r="B139" s="3"/>
      <c r="C139" s="3"/>
      <c r="D139" s="3"/>
      <c r="E139" s="3"/>
      <c r="F139" s="5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7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</row>
    <row r="140">
      <c r="A140" s="14"/>
      <c r="B140" s="3"/>
      <c r="C140" s="3"/>
      <c r="D140" s="3"/>
      <c r="E140" s="3"/>
      <c r="F140" s="5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7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</row>
    <row r="141">
      <c r="A141" s="14"/>
      <c r="B141" s="3"/>
      <c r="C141" s="3"/>
      <c r="D141" s="3"/>
      <c r="E141" s="3"/>
      <c r="F141" s="5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7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</row>
    <row r="142">
      <c r="A142" s="14"/>
      <c r="B142" s="3"/>
      <c r="C142" s="3"/>
      <c r="D142" s="3"/>
      <c r="E142" s="3"/>
      <c r="F142" s="5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7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</row>
    <row r="143">
      <c r="A143" s="14"/>
      <c r="B143" s="3"/>
      <c r="C143" s="3"/>
      <c r="D143" s="3"/>
      <c r="E143" s="3"/>
      <c r="F143" s="5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7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</row>
    <row r="144">
      <c r="A144" s="14"/>
      <c r="B144" s="3"/>
      <c r="C144" s="3"/>
      <c r="D144" s="3"/>
      <c r="E144" s="3"/>
      <c r="F144" s="5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7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</row>
    <row r="145">
      <c r="A145" s="14"/>
      <c r="B145" s="3"/>
      <c r="C145" s="3"/>
      <c r="D145" s="3"/>
      <c r="E145" s="3"/>
      <c r="F145" s="5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7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</row>
    <row r="146">
      <c r="A146" s="14"/>
      <c r="B146" s="3"/>
      <c r="C146" s="3"/>
      <c r="D146" s="3"/>
      <c r="E146" s="3"/>
      <c r="F146" s="5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7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</row>
    <row r="147">
      <c r="A147" s="14"/>
      <c r="B147" s="3"/>
      <c r="C147" s="3"/>
      <c r="D147" s="3"/>
      <c r="E147" s="3"/>
      <c r="F147" s="5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7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</row>
    <row r="148">
      <c r="A148" s="14"/>
      <c r="B148" s="3"/>
      <c r="C148" s="3"/>
      <c r="D148" s="3"/>
      <c r="E148" s="3"/>
      <c r="F148" s="5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7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</row>
    <row r="149">
      <c r="A149" s="14"/>
      <c r="B149" s="3"/>
      <c r="C149" s="3"/>
      <c r="D149" s="3"/>
      <c r="E149" s="3"/>
      <c r="F149" s="5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7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</row>
    <row r="150">
      <c r="A150" s="14"/>
      <c r="B150" s="3"/>
      <c r="C150" s="3"/>
      <c r="D150" s="3"/>
      <c r="E150" s="3"/>
      <c r="F150" s="5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7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</row>
    <row r="151">
      <c r="A151" s="14"/>
      <c r="B151" s="3"/>
      <c r="C151" s="3"/>
      <c r="D151" s="3"/>
      <c r="E151" s="3"/>
      <c r="F151" s="5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7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</row>
    <row r="152">
      <c r="A152" s="14"/>
      <c r="B152" s="3"/>
      <c r="C152" s="3"/>
      <c r="D152" s="3"/>
      <c r="E152" s="3"/>
      <c r="F152" s="5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7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</row>
    <row r="153">
      <c r="A153" s="14"/>
      <c r="B153" s="3"/>
      <c r="C153" s="3"/>
      <c r="D153" s="3"/>
      <c r="E153" s="3"/>
      <c r="F153" s="5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7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</row>
    <row r="154">
      <c r="A154" s="14"/>
      <c r="B154" s="3"/>
      <c r="C154" s="3"/>
      <c r="D154" s="3"/>
      <c r="E154" s="3"/>
      <c r="F154" s="5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7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</row>
    <row r="155">
      <c r="A155" s="14"/>
      <c r="B155" s="3"/>
      <c r="C155" s="3"/>
      <c r="D155" s="3"/>
      <c r="E155" s="3"/>
      <c r="F155" s="5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7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</row>
    <row r="156">
      <c r="A156" s="14"/>
      <c r="B156" s="3"/>
      <c r="C156" s="3"/>
      <c r="D156" s="3"/>
      <c r="E156" s="3"/>
      <c r="F156" s="5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7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</row>
    <row r="157">
      <c r="A157" s="14"/>
      <c r="B157" s="3"/>
      <c r="C157" s="3"/>
      <c r="D157" s="3"/>
      <c r="E157" s="3"/>
      <c r="F157" s="5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7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</row>
    <row r="158">
      <c r="A158" s="14"/>
      <c r="B158" s="3"/>
      <c r="C158" s="3"/>
      <c r="D158" s="3"/>
      <c r="E158" s="3"/>
      <c r="F158" s="5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7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</row>
    <row r="159">
      <c r="A159" s="14"/>
      <c r="B159" s="3"/>
      <c r="C159" s="3"/>
      <c r="D159" s="3"/>
      <c r="E159" s="3"/>
      <c r="F159" s="5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7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</row>
    <row r="160">
      <c r="A160" s="14"/>
      <c r="B160" s="3"/>
      <c r="C160" s="3"/>
      <c r="D160" s="3"/>
      <c r="E160" s="3"/>
      <c r="F160" s="5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7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</row>
    <row r="161">
      <c r="A161" s="14"/>
      <c r="B161" s="3"/>
      <c r="C161" s="3"/>
      <c r="D161" s="3"/>
      <c r="E161" s="3"/>
      <c r="F161" s="5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7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</row>
    <row r="162">
      <c r="A162" s="14"/>
      <c r="B162" s="3"/>
      <c r="C162" s="3"/>
      <c r="D162" s="3"/>
      <c r="E162" s="3"/>
      <c r="F162" s="5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7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</row>
    <row r="163">
      <c r="A163" s="14"/>
      <c r="B163" s="3"/>
      <c r="C163" s="3"/>
      <c r="D163" s="3"/>
      <c r="E163" s="3"/>
      <c r="F163" s="5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7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</row>
    <row r="164">
      <c r="A164" s="14"/>
      <c r="B164" s="3"/>
      <c r="C164" s="3"/>
      <c r="D164" s="3"/>
      <c r="E164" s="3"/>
      <c r="F164" s="5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7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</row>
    <row r="165">
      <c r="A165" s="14"/>
      <c r="B165" s="3"/>
      <c r="C165" s="3"/>
      <c r="D165" s="3"/>
      <c r="E165" s="3"/>
      <c r="F165" s="5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7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</row>
    <row r="166">
      <c r="A166" s="14"/>
      <c r="B166" s="3"/>
      <c r="C166" s="3"/>
      <c r="D166" s="3"/>
      <c r="E166" s="3"/>
      <c r="F166" s="5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7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</row>
    <row r="167">
      <c r="A167" s="14"/>
      <c r="B167" s="3"/>
      <c r="C167" s="3"/>
      <c r="D167" s="3"/>
      <c r="E167" s="3"/>
      <c r="F167" s="5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7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</row>
    <row r="168">
      <c r="A168" s="14"/>
      <c r="B168" s="3"/>
      <c r="C168" s="3"/>
      <c r="D168" s="3"/>
      <c r="E168" s="3"/>
      <c r="F168" s="5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7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</row>
    <row r="169">
      <c r="A169" s="14"/>
      <c r="B169" s="3"/>
      <c r="C169" s="3"/>
      <c r="D169" s="3"/>
      <c r="E169" s="3"/>
      <c r="F169" s="5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7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</row>
    <row r="170">
      <c r="A170" s="14"/>
      <c r="B170" s="3"/>
      <c r="C170" s="3"/>
      <c r="D170" s="3"/>
      <c r="E170" s="3"/>
      <c r="F170" s="5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7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</row>
    <row r="171">
      <c r="A171" s="14"/>
      <c r="B171" s="3"/>
      <c r="C171" s="3"/>
      <c r="D171" s="3"/>
      <c r="E171" s="3"/>
      <c r="F171" s="5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7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</row>
    <row r="172">
      <c r="A172" s="14"/>
      <c r="B172" s="3"/>
      <c r="C172" s="3"/>
      <c r="D172" s="3"/>
      <c r="E172" s="3"/>
      <c r="F172" s="5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7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</row>
    <row r="173">
      <c r="A173" s="14"/>
      <c r="B173" s="3"/>
      <c r="C173" s="3"/>
      <c r="D173" s="3"/>
      <c r="E173" s="3"/>
      <c r="F173" s="5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7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</row>
    <row r="174">
      <c r="A174" s="14"/>
      <c r="B174" s="3"/>
      <c r="C174" s="3"/>
      <c r="D174" s="3"/>
      <c r="E174" s="3"/>
      <c r="F174" s="5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7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</row>
    <row r="175">
      <c r="A175" s="14"/>
      <c r="B175" s="3"/>
      <c r="C175" s="3"/>
      <c r="D175" s="3"/>
      <c r="E175" s="3"/>
      <c r="F175" s="5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7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</row>
    <row r="176">
      <c r="A176" s="14"/>
      <c r="B176" s="3"/>
      <c r="C176" s="3"/>
      <c r="D176" s="3"/>
      <c r="E176" s="3"/>
      <c r="F176" s="5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7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</row>
    <row r="177">
      <c r="A177" s="14"/>
      <c r="B177" s="3"/>
      <c r="C177" s="3"/>
      <c r="D177" s="3"/>
      <c r="E177" s="3"/>
      <c r="F177" s="5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7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</row>
    <row r="178">
      <c r="A178" s="14"/>
      <c r="B178" s="3"/>
      <c r="C178" s="3"/>
      <c r="D178" s="3"/>
      <c r="E178" s="3"/>
      <c r="F178" s="5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7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</row>
    <row r="179">
      <c r="A179" s="14"/>
      <c r="B179" s="3"/>
      <c r="C179" s="3"/>
      <c r="D179" s="3"/>
      <c r="E179" s="3"/>
      <c r="F179" s="5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7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</row>
    <row r="180">
      <c r="A180" s="14"/>
      <c r="B180" s="3"/>
      <c r="C180" s="3"/>
      <c r="D180" s="3"/>
      <c r="E180" s="3"/>
      <c r="F180" s="5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7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</row>
    <row r="181">
      <c r="A181" s="14"/>
      <c r="B181" s="3"/>
      <c r="C181" s="3"/>
      <c r="D181" s="3"/>
      <c r="E181" s="3"/>
      <c r="F181" s="5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7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</row>
    <row r="182">
      <c r="A182" s="14"/>
      <c r="B182" s="3"/>
      <c r="C182" s="3"/>
      <c r="D182" s="3"/>
      <c r="E182" s="3"/>
      <c r="F182" s="5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7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</row>
    <row r="183">
      <c r="A183" s="14"/>
      <c r="B183" s="3"/>
      <c r="C183" s="3"/>
      <c r="D183" s="3"/>
      <c r="E183" s="3"/>
      <c r="F183" s="5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7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</row>
    <row r="184">
      <c r="A184" s="14"/>
      <c r="B184" s="3"/>
      <c r="C184" s="3"/>
      <c r="D184" s="3"/>
      <c r="E184" s="3"/>
      <c r="F184" s="5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7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</row>
    <row r="185">
      <c r="A185" s="14"/>
      <c r="B185" s="3"/>
      <c r="C185" s="3"/>
      <c r="D185" s="3"/>
      <c r="E185" s="3"/>
      <c r="F185" s="5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7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</row>
    <row r="186">
      <c r="A186" s="14"/>
      <c r="B186" s="3"/>
      <c r="C186" s="3"/>
      <c r="D186" s="3"/>
      <c r="E186" s="3"/>
      <c r="F186" s="5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7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</row>
    <row r="187">
      <c r="A187" s="14"/>
      <c r="B187" s="3"/>
      <c r="C187" s="3"/>
      <c r="D187" s="3"/>
      <c r="E187" s="3"/>
      <c r="F187" s="5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7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</row>
    <row r="188">
      <c r="A188" s="14"/>
      <c r="B188" s="3"/>
      <c r="C188" s="3"/>
      <c r="D188" s="3"/>
      <c r="E188" s="3"/>
      <c r="F188" s="5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7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</row>
    <row r="189">
      <c r="A189" s="14"/>
      <c r="B189" s="3"/>
      <c r="C189" s="3"/>
      <c r="D189" s="3"/>
      <c r="E189" s="3"/>
      <c r="F189" s="5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7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</row>
    <row r="190">
      <c r="A190" s="14"/>
      <c r="B190" s="3"/>
      <c r="C190" s="3"/>
      <c r="D190" s="3"/>
      <c r="E190" s="3"/>
      <c r="F190" s="5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7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</row>
    <row r="191">
      <c r="A191" s="14"/>
      <c r="B191" s="3"/>
      <c r="C191" s="3"/>
      <c r="D191" s="3"/>
      <c r="E191" s="3"/>
      <c r="F191" s="5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7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</row>
    <row r="192">
      <c r="A192" s="14"/>
      <c r="B192" s="3"/>
      <c r="C192" s="3"/>
      <c r="D192" s="3"/>
      <c r="E192" s="3"/>
      <c r="F192" s="5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7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</row>
    <row r="193">
      <c r="A193" s="14"/>
      <c r="B193" s="3"/>
      <c r="C193" s="3"/>
      <c r="D193" s="3"/>
      <c r="E193" s="3"/>
      <c r="F193" s="5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7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</row>
    <row r="194">
      <c r="A194" s="14"/>
      <c r="B194" s="3"/>
      <c r="C194" s="3"/>
      <c r="D194" s="3"/>
      <c r="E194" s="3"/>
      <c r="F194" s="5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7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</row>
    <row r="195">
      <c r="A195" s="14"/>
      <c r="B195" s="3"/>
      <c r="C195" s="3"/>
      <c r="D195" s="3"/>
      <c r="E195" s="3"/>
      <c r="F195" s="5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7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</row>
    <row r="196">
      <c r="A196" s="14"/>
      <c r="B196" s="3"/>
      <c r="C196" s="3"/>
      <c r="D196" s="3"/>
      <c r="E196" s="3"/>
      <c r="F196" s="5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7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</row>
    <row r="197">
      <c r="A197" s="14"/>
      <c r="B197" s="3"/>
      <c r="C197" s="3"/>
      <c r="D197" s="3"/>
      <c r="E197" s="3"/>
      <c r="F197" s="5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7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</row>
    <row r="198">
      <c r="A198" s="14"/>
      <c r="B198" s="3"/>
      <c r="C198" s="3"/>
      <c r="D198" s="3"/>
      <c r="E198" s="3"/>
      <c r="F198" s="5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7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</row>
    <row r="199">
      <c r="A199" s="14"/>
      <c r="B199" s="3"/>
      <c r="C199" s="3"/>
      <c r="D199" s="3"/>
      <c r="E199" s="3"/>
      <c r="F199" s="5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7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</row>
    <row r="200">
      <c r="A200" s="14"/>
      <c r="B200" s="3"/>
      <c r="C200" s="3"/>
      <c r="D200" s="3"/>
      <c r="E200" s="3"/>
      <c r="F200" s="5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7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</row>
    <row r="201">
      <c r="A201" s="14"/>
      <c r="B201" s="3"/>
      <c r="C201" s="3"/>
      <c r="D201" s="3"/>
      <c r="E201" s="3"/>
      <c r="F201" s="5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7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</row>
    <row r="202">
      <c r="A202" s="14"/>
      <c r="B202" s="3"/>
      <c r="C202" s="3"/>
      <c r="D202" s="3"/>
      <c r="E202" s="3"/>
      <c r="F202" s="5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7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</row>
    <row r="203">
      <c r="A203" s="14"/>
      <c r="B203" s="3"/>
      <c r="C203" s="3"/>
      <c r="D203" s="3"/>
      <c r="E203" s="3"/>
      <c r="F203" s="5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7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</row>
    <row r="204">
      <c r="A204" s="14"/>
      <c r="B204" s="3"/>
      <c r="C204" s="3"/>
      <c r="D204" s="3"/>
      <c r="E204" s="3"/>
      <c r="F204" s="5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7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</row>
    <row r="205">
      <c r="A205" s="14"/>
      <c r="B205" s="3"/>
      <c r="C205" s="3"/>
      <c r="D205" s="3"/>
      <c r="E205" s="3"/>
      <c r="F205" s="5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7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</row>
    <row r="206">
      <c r="A206" s="14"/>
      <c r="B206" s="3"/>
      <c r="C206" s="3"/>
      <c r="D206" s="3"/>
      <c r="E206" s="3"/>
      <c r="F206" s="5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7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</row>
    <row r="207">
      <c r="A207" s="14"/>
      <c r="B207" s="3"/>
      <c r="C207" s="3"/>
      <c r="D207" s="3"/>
      <c r="E207" s="3"/>
      <c r="F207" s="5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7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</row>
    <row r="208">
      <c r="A208" s="14"/>
      <c r="B208" s="3"/>
      <c r="C208" s="3"/>
      <c r="D208" s="3"/>
      <c r="E208" s="3"/>
      <c r="F208" s="5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7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</row>
    <row r="209">
      <c r="A209" s="14"/>
      <c r="B209" s="3"/>
      <c r="C209" s="3"/>
      <c r="D209" s="3"/>
      <c r="E209" s="3"/>
      <c r="F209" s="5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7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</row>
    <row r="210">
      <c r="A210" s="14"/>
      <c r="B210" s="3"/>
      <c r="C210" s="3"/>
      <c r="D210" s="3"/>
      <c r="E210" s="3"/>
      <c r="F210" s="5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7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</row>
    <row r="211">
      <c r="A211" s="14"/>
      <c r="B211" s="3"/>
      <c r="C211" s="3"/>
      <c r="D211" s="3"/>
      <c r="E211" s="3"/>
      <c r="F211" s="5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7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</row>
    <row r="212">
      <c r="A212" s="14"/>
      <c r="B212" s="3"/>
      <c r="C212" s="3"/>
      <c r="D212" s="3"/>
      <c r="E212" s="3"/>
      <c r="F212" s="5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7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</row>
    <row r="213">
      <c r="A213" s="14"/>
      <c r="B213" s="3"/>
      <c r="C213" s="3"/>
      <c r="D213" s="3"/>
      <c r="E213" s="3"/>
      <c r="F213" s="5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7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</row>
    <row r="214">
      <c r="A214" s="14"/>
      <c r="B214" s="3"/>
      <c r="C214" s="3"/>
      <c r="D214" s="3"/>
      <c r="E214" s="3"/>
      <c r="F214" s="5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7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</row>
    <row r="215">
      <c r="A215" s="14"/>
      <c r="B215" s="3"/>
      <c r="C215" s="3"/>
      <c r="D215" s="3"/>
      <c r="E215" s="3"/>
      <c r="F215" s="5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7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</row>
    <row r="216">
      <c r="A216" s="14"/>
      <c r="B216" s="3"/>
      <c r="C216" s="3"/>
      <c r="D216" s="3"/>
      <c r="E216" s="3"/>
      <c r="F216" s="5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7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</row>
    <row r="217">
      <c r="A217" s="14"/>
      <c r="B217" s="3"/>
      <c r="C217" s="3"/>
      <c r="D217" s="3"/>
      <c r="E217" s="3"/>
      <c r="F217" s="5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7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</row>
    <row r="218">
      <c r="A218" s="14"/>
      <c r="B218" s="3"/>
      <c r="C218" s="3"/>
      <c r="D218" s="3"/>
      <c r="E218" s="3"/>
      <c r="F218" s="5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7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</row>
    <row r="219">
      <c r="A219" s="14"/>
      <c r="B219" s="3"/>
      <c r="C219" s="3"/>
      <c r="D219" s="3"/>
      <c r="E219" s="3"/>
      <c r="F219" s="5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7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</row>
    <row r="220">
      <c r="A220" s="14"/>
      <c r="B220" s="3"/>
      <c r="C220" s="3"/>
      <c r="D220" s="3"/>
      <c r="E220" s="3"/>
      <c r="F220" s="5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7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</row>
    <row r="221">
      <c r="A221" s="14"/>
      <c r="B221" s="3"/>
      <c r="C221" s="3"/>
      <c r="D221" s="3"/>
      <c r="E221" s="3"/>
      <c r="F221" s="5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7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</row>
    <row r="222">
      <c r="A222" s="14"/>
      <c r="B222" s="3"/>
      <c r="C222" s="3"/>
      <c r="D222" s="3"/>
      <c r="E222" s="3"/>
      <c r="F222" s="5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7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</row>
    <row r="223">
      <c r="A223" s="14"/>
      <c r="B223" s="3"/>
      <c r="C223" s="3"/>
      <c r="D223" s="3"/>
      <c r="E223" s="3"/>
      <c r="F223" s="5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7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</row>
    <row r="224">
      <c r="A224" s="14"/>
      <c r="B224" s="3"/>
      <c r="C224" s="3"/>
      <c r="D224" s="3"/>
      <c r="E224" s="3"/>
      <c r="F224" s="5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7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</row>
    <row r="225">
      <c r="A225" s="14"/>
      <c r="B225" s="3"/>
      <c r="C225" s="3"/>
      <c r="D225" s="3"/>
      <c r="E225" s="3"/>
      <c r="F225" s="5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7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</row>
    <row r="226">
      <c r="A226" s="14"/>
      <c r="B226" s="3"/>
      <c r="C226" s="3"/>
      <c r="D226" s="3"/>
      <c r="E226" s="3"/>
      <c r="F226" s="5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7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</row>
    <row r="227">
      <c r="A227" s="14"/>
      <c r="B227" s="3"/>
      <c r="C227" s="3"/>
      <c r="D227" s="3"/>
      <c r="E227" s="3"/>
      <c r="F227" s="5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7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</row>
    <row r="228">
      <c r="A228" s="14"/>
      <c r="B228" s="3"/>
      <c r="C228" s="3"/>
      <c r="D228" s="3"/>
      <c r="E228" s="3"/>
      <c r="F228" s="5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7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</row>
    <row r="229">
      <c r="A229" s="14"/>
      <c r="B229" s="3"/>
      <c r="C229" s="3"/>
      <c r="D229" s="3"/>
      <c r="E229" s="3"/>
      <c r="F229" s="5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7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</row>
    <row r="230">
      <c r="A230" s="14"/>
      <c r="B230" s="3"/>
      <c r="C230" s="3"/>
      <c r="D230" s="3"/>
      <c r="E230" s="3"/>
      <c r="F230" s="5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7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</row>
    <row r="231">
      <c r="A231" s="14"/>
      <c r="B231" s="3"/>
      <c r="C231" s="3"/>
      <c r="D231" s="3"/>
      <c r="E231" s="3"/>
      <c r="F231" s="5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7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</row>
    <row r="232">
      <c r="A232" s="14"/>
      <c r="B232" s="3"/>
      <c r="C232" s="3"/>
      <c r="D232" s="3"/>
      <c r="E232" s="3"/>
      <c r="F232" s="5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7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</row>
    <row r="233">
      <c r="A233" s="14"/>
      <c r="B233" s="3"/>
      <c r="C233" s="3"/>
      <c r="D233" s="3"/>
      <c r="E233" s="3"/>
      <c r="F233" s="5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7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</row>
    <row r="234">
      <c r="A234" s="14"/>
      <c r="B234" s="3"/>
      <c r="C234" s="3"/>
      <c r="D234" s="3"/>
      <c r="E234" s="3"/>
      <c r="F234" s="5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7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</row>
    <row r="235">
      <c r="A235" s="14"/>
      <c r="B235" s="3"/>
      <c r="C235" s="3"/>
      <c r="D235" s="3"/>
      <c r="E235" s="3"/>
      <c r="F235" s="5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7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</row>
    <row r="236">
      <c r="A236" s="14"/>
      <c r="B236" s="3"/>
      <c r="C236" s="3"/>
      <c r="D236" s="3"/>
      <c r="E236" s="3"/>
      <c r="F236" s="5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7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</row>
    <row r="237">
      <c r="A237" s="14"/>
      <c r="B237" s="3"/>
      <c r="C237" s="3"/>
      <c r="D237" s="3"/>
      <c r="E237" s="3"/>
      <c r="F237" s="5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7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</row>
    <row r="238">
      <c r="A238" s="14"/>
      <c r="B238" s="3"/>
      <c r="C238" s="3"/>
      <c r="D238" s="3"/>
      <c r="E238" s="3"/>
      <c r="F238" s="5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7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</row>
    <row r="239">
      <c r="A239" s="14"/>
      <c r="B239" s="3"/>
      <c r="C239" s="3"/>
      <c r="D239" s="3"/>
      <c r="E239" s="3"/>
      <c r="F239" s="5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7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</row>
    <row r="240">
      <c r="A240" s="14"/>
      <c r="B240" s="3"/>
      <c r="C240" s="3"/>
      <c r="D240" s="3"/>
      <c r="E240" s="3"/>
      <c r="F240" s="5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7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</row>
    <row r="241">
      <c r="A241" s="14"/>
      <c r="B241" s="3"/>
      <c r="C241" s="3"/>
      <c r="D241" s="3"/>
      <c r="E241" s="3"/>
      <c r="F241" s="5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7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</row>
    <row r="242">
      <c r="A242" s="14"/>
      <c r="B242" s="3"/>
      <c r="C242" s="3"/>
      <c r="D242" s="3"/>
      <c r="E242" s="3"/>
      <c r="F242" s="5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7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</row>
    <row r="243">
      <c r="A243" s="14"/>
      <c r="B243" s="3"/>
      <c r="C243" s="3"/>
      <c r="D243" s="3"/>
      <c r="E243" s="3"/>
      <c r="F243" s="5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7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</row>
    <row r="244">
      <c r="A244" s="14"/>
      <c r="B244" s="3"/>
      <c r="C244" s="3"/>
      <c r="D244" s="3"/>
      <c r="E244" s="3"/>
      <c r="F244" s="5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7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</row>
    <row r="245">
      <c r="A245" s="14"/>
      <c r="B245" s="3"/>
      <c r="C245" s="3"/>
      <c r="D245" s="3"/>
      <c r="E245" s="3"/>
      <c r="F245" s="5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7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</row>
    <row r="246">
      <c r="A246" s="14"/>
      <c r="B246" s="3"/>
      <c r="C246" s="3"/>
      <c r="D246" s="3"/>
      <c r="E246" s="3"/>
      <c r="F246" s="5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7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</row>
    <row r="247">
      <c r="A247" s="14"/>
      <c r="B247" s="3"/>
      <c r="C247" s="3"/>
      <c r="D247" s="3"/>
      <c r="E247" s="3"/>
      <c r="F247" s="5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7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</row>
    <row r="248">
      <c r="A248" s="14"/>
      <c r="B248" s="3"/>
      <c r="C248" s="3"/>
      <c r="D248" s="3"/>
      <c r="E248" s="3"/>
      <c r="F248" s="5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7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</row>
    <row r="249">
      <c r="A249" s="14"/>
      <c r="B249" s="3"/>
      <c r="C249" s="3"/>
      <c r="D249" s="3"/>
      <c r="E249" s="3"/>
      <c r="F249" s="5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7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</row>
    <row r="250">
      <c r="A250" s="14"/>
      <c r="B250" s="3"/>
      <c r="C250" s="3"/>
      <c r="D250" s="3"/>
      <c r="E250" s="3"/>
      <c r="F250" s="5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7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</row>
    <row r="251">
      <c r="A251" s="14"/>
      <c r="B251" s="3"/>
      <c r="C251" s="3"/>
      <c r="D251" s="3"/>
      <c r="E251" s="3"/>
      <c r="F251" s="5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7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</row>
    <row r="252">
      <c r="A252" s="14"/>
      <c r="B252" s="3"/>
      <c r="C252" s="3"/>
      <c r="D252" s="3"/>
      <c r="E252" s="3"/>
      <c r="F252" s="5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7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</row>
    <row r="253">
      <c r="A253" s="14"/>
      <c r="B253" s="3"/>
      <c r="C253" s="3"/>
      <c r="D253" s="3"/>
      <c r="E253" s="3"/>
      <c r="F253" s="5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7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</row>
    <row r="254">
      <c r="A254" s="14"/>
      <c r="B254" s="3"/>
      <c r="C254" s="3"/>
      <c r="D254" s="3"/>
      <c r="E254" s="3"/>
      <c r="F254" s="5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7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</row>
    <row r="255">
      <c r="A255" s="14"/>
      <c r="B255" s="3"/>
      <c r="C255" s="3"/>
      <c r="D255" s="3"/>
      <c r="E255" s="3"/>
      <c r="F255" s="5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7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</row>
    <row r="256">
      <c r="A256" s="14"/>
      <c r="B256" s="3"/>
      <c r="C256" s="3"/>
      <c r="D256" s="3"/>
      <c r="E256" s="3"/>
      <c r="F256" s="5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7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</row>
    <row r="257">
      <c r="A257" s="14"/>
      <c r="B257" s="3"/>
      <c r="C257" s="3"/>
      <c r="D257" s="3"/>
      <c r="E257" s="3"/>
      <c r="F257" s="5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7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</row>
    <row r="258">
      <c r="A258" s="14"/>
      <c r="B258" s="3"/>
      <c r="C258" s="3"/>
      <c r="D258" s="3"/>
      <c r="E258" s="3"/>
      <c r="F258" s="5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7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</row>
    <row r="259">
      <c r="A259" s="14"/>
      <c r="B259" s="3"/>
      <c r="C259" s="3"/>
      <c r="D259" s="3"/>
      <c r="E259" s="3"/>
      <c r="F259" s="5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7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</row>
    <row r="260">
      <c r="A260" s="14"/>
      <c r="B260" s="3"/>
      <c r="C260" s="3"/>
      <c r="D260" s="3"/>
      <c r="E260" s="3"/>
      <c r="F260" s="5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7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</row>
    <row r="261">
      <c r="A261" s="14"/>
      <c r="B261" s="3"/>
      <c r="C261" s="3"/>
      <c r="D261" s="3"/>
      <c r="E261" s="3"/>
      <c r="F261" s="5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7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</row>
    <row r="262">
      <c r="A262" s="14"/>
      <c r="B262" s="3"/>
      <c r="C262" s="3"/>
      <c r="D262" s="3"/>
      <c r="E262" s="3"/>
      <c r="F262" s="5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7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</row>
    <row r="263">
      <c r="A263" s="14"/>
      <c r="B263" s="3"/>
      <c r="C263" s="3"/>
      <c r="D263" s="3"/>
      <c r="E263" s="3"/>
      <c r="F263" s="5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7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</row>
    <row r="264">
      <c r="A264" s="14"/>
      <c r="B264" s="3"/>
      <c r="C264" s="3"/>
      <c r="D264" s="3"/>
      <c r="E264" s="3"/>
      <c r="F264" s="5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7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</row>
    <row r="265">
      <c r="A265" s="14"/>
      <c r="B265" s="3"/>
      <c r="C265" s="3"/>
      <c r="D265" s="3"/>
      <c r="E265" s="3"/>
      <c r="F265" s="5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7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</row>
    <row r="266">
      <c r="A266" s="14"/>
      <c r="B266" s="3"/>
      <c r="C266" s="3"/>
      <c r="D266" s="3"/>
      <c r="E266" s="3"/>
      <c r="F266" s="5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7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</row>
    <row r="267">
      <c r="A267" s="14"/>
      <c r="B267" s="3"/>
      <c r="C267" s="3"/>
      <c r="D267" s="3"/>
      <c r="E267" s="3"/>
      <c r="F267" s="5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7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</row>
    <row r="268">
      <c r="A268" s="14"/>
      <c r="B268" s="3"/>
      <c r="C268" s="3"/>
      <c r="D268" s="3"/>
      <c r="E268" s="3"/>
      <c r="F268" s="5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7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</row>
    <row r="269">
      <c r="A269" s="14"/>
      <c r="B269" s="3"/>
      <c r="C269" s="3"/>
      <c r="D269" s="3"/>
      <c r="E269" s="3"/>
      <c r="F269" s="5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7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</row>
    <row r="270">
      <c r="A270" s="14"/>
      <c r="B270" s="3"/>
      <c r="C270" s="3"/>
      <c r="D270" s="3"/>
      <c r="E270" s="3"/>
      <c r="F270" s="5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7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</row>
    <row r="271">
      <c r="A271" s="14"/>
      <c r="B271" s="3"/>
      <c r="C271" s="3"/>
      <c r="D271" s="3"/>
      <c r="E271" s="3"/>
      <c r="F271" s="5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7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</row>
    <row r="272">
      <c r="A272" s="14"/>
      <c r="B272" s="3"/>
      <c r="C272" s="3"/>
      <c r="D272" s="3"/>
      <c r="E272" s="3"/>
      <c r="F272" s="5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7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</row>
    <row r="273">
      <c r="A273" s="14"/>
      <c r="B273" s="3"/>
      <c r="C273" s="3"/>
      <c r="D273" s="3"/>
      <c r="E273" s="3"/>
      <c r="F273" s="5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7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</row>
    <row r="274">
      <c r="A274" s="14"/>
      <c r="B274" s="3"/>
      <c r="C274" s="3"/>
      <c r="D274" s="3"/>
      <c r="E274" s="3"/>
      <c r="F274" s="5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7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</row>
    <row r="275">
      <c r="A275" s="14"/>
      <c r="B275" s="3"/>
      <c r="C275" s="3"/>
      <c r="D275" s="3"/>
      <c r="E275" s="3"/>
      <c r="F275" s="5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7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</row>
    <row r="276">
      <c r="A276" s="14"/>
      <c r="B276" s="3"/>
      <c r="C276" s="3"/>
      <c r="D276" s="3"/>
      <c r="E276" s="3"/>
      <c r="F276" s="5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7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</row>
    <row r="277">
      <c r="A277" s="14"/>
      <c r="B277" s="3"/>
      <c r="C277" s="3"/>
      <c r="D277" s="3"/>
      <c r="E277" s="3"/>
      <c r="F277" s="5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7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</row>
    <row r="278">
      <c r="A278" s="14"/>
      <c r="B278" s="3"/>
      <c r="C278" s="3"/>
      <c r="D278" s="3"/>
      <c r="E278" s="3"/>
      <c r="F278" s="5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7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</row>
    <row r="279">
      <c r="A279" s="14"/>
      <c r="B279" s="3"/>
      <c r="C279" s="3"/>
      <c r="D279" s="3"/>
      <c r="E279" s="3"/>
      <c r="F279" s="5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7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</row>
    <row r="280">
      <c r="A280" s="14"/>
      <c r="B280" s="3"/>
      <c r="C280" s="3"/>
      <c r="D280" s="3"/>
      <c r="E280" s="3"/>
      <c r="F280" s="5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7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</row>
    <row r="281">
      <c r="A281" s="14"/>
      <c r="B281" s="3"/>
      <c r="C281" s="3"/>
      <c r="D281" s="3"/>
      <c r="E281" s="3"/>
      <c r="F281" s="5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7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</row>
    <row r="282">
      <c r="A282" s="14"/>
      <c r="B282" s="3"/>
      <c r="C282" s="3"/>
      <c r="D282" s="3"/>
      <c r="E282" s="3"/>
      <c r="F282" s="5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7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</row>
    <row r="283">
      <c r="A283" s="14"/>
      <c r="B283" s="3"/>
      <c r="C283" s="3"/>
      <c r="D283" s="3"/>
      <c r="E283" s="3"/>
      <c r="F283" s="5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7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</row>
    <row r="284">
      <c r="A284" s="14"/>
      <c r="B284" s="3"/>
      <c r="C284" s="3"/>
      <c r="D284" s="3"/>
      <c r="E284" s="3"/>
      <c r="F284" s="5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7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</row>
    <row r="285">
      <c r="A285" s="14"/>
      <c r="B285" s="3"/>
      <c r="C285" s="3"/>
      <c r="D285" s="3"/>
      <c r="E285" s="3"/>
      <c r="F285" s="5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7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3"/>
      <c r="HT285" s="3"/>
    </row>
    <row r="286">
      <c r="A286" s="14"/>
      <c r="B286" s="3"/>
      <c r="C286" s="3"/>
      <c r="D286" s="3"/>
      <c r="E286" s="3"/>
      <c r="F286" s="5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7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</row>
    <row r="287">
      <c r="A287" s="14"/>
      <c r="B287" s="3"/>
      <c r="C287" s="3"/>
      <c r="D287" s="3"/>
      <c r="E287" s="3"/>
      <c r="F287" s="5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7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</row>
    <row r="288">
      <c r="A288" s="14"/>
      <c r="B288" s="3"/>
      <c r="C288" s="3"/>
      <c r="D288" s="3"/>
      <c r="E288" s="3"/>
      <c r="F288" s="5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7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</row>
    <row r="289">
      <c r="A289" s="14"/>
      <c r="B289" s="3"/>
      <c r="C289" s="3"/>
      <c r="D289" s="3"/>
      <c r="E289" s="3"/>
      <c r="F289" s="5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7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3"/>
      <c r="HT289" s="3"/>
    </row>
    <row r="290">
      <c r="A290" s="14"/>
      <c r="B290" s="3"/>
      <c r="C290" s="3"/>
      <c r="D290" s="3"/>
      <c r="E290" s="3"/>
      <c r="F290" s="5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7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</row>
    <row r="291">
      <c r="A291" s="14"/>
      <c r="B291" s="3"/>
      <c r="C291" s="3"/>
      <c r="D291" s="3"/>
      <c r="E291" s="3"/>
      <c r="F291" s="5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7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</row>
    <row r="292">
      <c r="A292" s="14"/>
      <c r="B292" s="3"/>
      <c r="C292" s="3"/>
      <c r="D292" s="3"/>
      <c r="E292" s="3"/>
      <c r="F292" s="5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7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</row>
    <row r="293">
      <c r="A293" s="14"/>
      <c r="B293" s="3"/>
      <c r="C293" s="3"/>
      <c r="D293" s="3"/>
      <c r="E293" s="3"/>
      <c r="F293" s="5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7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</row>
    <row r="294">
      <c r="A294" s="14"/>
      <c r="B294" s="3"/>
      <c r="C294" s="3"/>
      <c r="D294" s="3"/>
      <c r="E294" s="3"/>
      <c r="F294" s="5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7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</row>
    <row r="295">
      <c r="A295" s="14"/>
      <c r="B295" s="3"/>
      <c r="C295" s="3"/>
      <c r="D295" s="3"/>
      <c r="E295" s="3"/>
      <c r="F295" s="5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7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</row>
    <row r="296">
      <c r="A296" s="14"/>
      <c r="B296" s="3"/>
      <c r="C296" s="3"/>
      <c r="D296" s="3"/>
      <c r="E296" s="3"/>
      <c r="F296" s="5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7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</row>
    <row r="297">
      <c r="A297" s="14"/>
      <c r="B297" s="3"/>
      <c r="C297" s="3"/>
      <c r="D297" s="3"/>
      <c r="E297" s="3"/>
      <c r="F297" s="5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7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</row>
    <row r="298">
      <c r="A298" s="14"/>
      <c r="B298" s="3"/>
      <c r="C298" s="3"/>
      <c r="D298" s="3"/>
      <c r="E298" s="3"/>
      <c r="F298" s="5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7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</row>
    <row r="299">
      <c r="A299" s="14"/>
      <c r="B299" s="3"/>
      <c r="C299" s="3"/>
      <c r="D299" s="3"/>
      <c r="E299" s="3"/>
      <c r="F299" s="5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7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</row>
    <row r="300">
      <c r="A300" s="14"/>
      <c r="B300" s="3"/>
      <c r="C300" s="3"/>
      <c r="D300" s="3"/>
      <c r="E300" s="3"/>
      <c r="F300" s="5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7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</row>
    <row r="301">
      <c r="A301" s="14"/>
      <c r="B301" s="3"/>
      <c r="C301" s="3"/>
      <c r="D301" s="3"/>
      <c r="E301" s="3"/>
      <c r="F301" s="5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7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</row>
    <row r="302">
      <c r="A302" s="14"/>
      <c r="B302" s="3"/>
      <c r="C302" s="3"/>
      <c r="D302" s="3"/>
      <c r="E302" s="3"/>
      <c r="F302" s="5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7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</row>
    <row r="303">
      <c r="A303" s="14"/>
      <c r="B303" s="3"/>
      <c r="C303" s="3"/>
      <c r="D303" s="3"/>
      <c r="E303" s="3"/>
      <c r="F303" s="5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7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</row>
    <row r="304">
      <c r="A304" s="14"/>
      <c r="B304" s="3"/>
      <c r="C304" s="3"/>
      <c r="D304" s="3"/>
      <c r="E304" s="3"/>
      <c r="F304" s="5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7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</row>
    <row r="305">
      <c r="A305" s="14"/>
      <c r="B305" s="3"/>
      <c r="C305" s="3"/>
      <c r="D305" s="3"/>
      <c r="E305" s="3"/>
      <c r="F305" s="5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7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</row>
    <row r="306">
      <c r="A306" s="14"/>
      <c r="B306" s="3"/>
      <c r="C306" s="3"/>
      <c r="D306" s="3"/>
      <c r="E306" s="3"/>
      <c r="F306" s="5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7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3"/>
      <c r="HQ306" s="3"/>
      <c r="HR306" s="3"/>
      <c r="HS306" s="3"/>
      <c r="HT306" s="3"/>
    </row>
    <row r="307">
      <c r="A307" s="14"/>
      <c r="B307" s="3"/>
      <c r="C307" s="3"/>
      <c r="D307" s="3"/>
      <c r="E307" s="3"/>
      <c r="F307" s="5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7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/>
      <c r="HQ307" s="3"/>
      <c r="HR307" s="3"/>
      <c r="HS307" s="3"/>
      <c r="HT307" s="3"/>
    </row>
    <row r="308">
      <c r="A308" s="14"/>
      <c r="B308" s="3"/>
      <c r="C308" s="3"/>
      <c r="D308" s="3"/>
      <c r="E308" s="3"/>
      <c r="F308" s="5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7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/>
      <c r="HQ308" s="3"/>
      <c r="HR308" s="3"/>
      <c r="HS308" s="3"/>
      <c r="HT308" s="3"/>
    </row>
    <row r="309">
      <c r="A309" s="14"/>
      <c r="B309" s="3"/>
      <c r="C309" s="3"/>
      <c r="D309" s="3"/>
      <c r="E309" s="3"/>
      <c r="F309" s="5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7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</row>
    <row r="310">
      <c r="A310" s="14"/>
      <c r="B310" s="3"/>
      <c r="C310" s="3"/>
      <c r="D310" s="3"/>
      <c r="E310" s="3"/>
      <c r="F310" s="5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7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</row>
    <row r="311">
      <c r="A311" s="14"/>
      <c r="B311" s="3"/>
      <c r="C311" s="3"/>
      <c r="D311" s="3"/>
      <c r="E311" s="3"/>
      <c r="F311" s="5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7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</row>
    <row r="312">
      <c r="A312" s="14"/>
      <c r="B312" s="3"/>
      <c r="C312" s="3"/>
      <c r="D312" s="3"/>
      <c r="E312" s="3"/>
      <c r="F312" s="5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7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3"/>
      <c r="HT312" s="3"/>
    </row>
    <row r="313">
      <c r="A313" s="14"/>
      <c r="B313" s="3"/>
      <c r="C313" s="3"/>
      <c r="D313" s="3"/>
      <c r="E313" s="3"/>
      <c r="F313" s="5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7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</row>
    <row r="314">
      <c r="A314" s="14"/>
      <c r="B314" s="3"/>
      <c r="C314" s="3"/>
      <c r="D314" s="3"/>
      <c r="E314" s="3"/>
      <c r="F314" s="5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7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</row>
    <row r="315">
      <c r="A315" s="14"/>
      <c r="B315" s="3"/>
      <c r="C315" s="3"/>
      <c r="D315" s="3"/>
      <c r="E315" s="3"/>
      <c r="F315" s="5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7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</row>
    <row r="316">
      <c r="A316" s="14"/>
      <c r="B316" s="3"/>
      <c r="C316" s="3"/>
      <c r="D316" s="3"/>
      <c r="E316" s="3"/>
      <c r="F316" s="5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7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</row>
    <row r="317">
      <c r="A317" s="14"/>
      <c r="B317" s="3"/>
      <c r="C317" s="3"/>
      <c r="D317" s="3"/>
      <c r="E317" s="3"/>
      <c r="F317" s="5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7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3"/>
      <c r="HT317" s="3"/>
    </row>
    <row r="318">
      <c r="A318" s="14"/>
      <c r="B318" s="3"/>
      <c r="C318" s="3"/>
      <c r="D318" s="3"/>
      <c r="E318" s="3"/>
      <c r="F318" s="5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7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</row>
    <row r="319">
      <c r="A319" s="14"/>
      <c r="B319" s="3"/>
      <c r="C319" s="3"/>
      <c r="D319" s="3"/>
      <c r="E319" s="3"/>
      <c r="F319" s="5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7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3"/>
      <c r="HT319" s="3"/>
    </row>
    <row r="320">
      <c r="A320" s="14"/>
      <c r="B320" s="3"/>
      <c r="C320" s="3"/>
      <c r="D320" s="3"/>
      <c r="E320" s="3"/>
      <c r="F320" s="5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7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3"/>
      <c r="HQ320" s="3"/>
      <c r="HR320" s="3"/>
      <c r="HS320" s="3"/>
      <c r="HT320" s="3"/>
    </row>
    <row r="321">
      <c r="A321" s="14"/>
      <c r="B321" s="3"/>
      <c r="C321" s="3"/>
      <c r="D321" s="3"/>
      <c r="E321" s="3"/>
      <c r="F321" s="5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7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</row>
    <row r="322">
      <c r="A322" s="14"/>
      <c r="B322" s="3"/>
      <c r="C322" s="3"/>
      <c r="D322" s="3"/>
      <c r="E322" s="3"/>
      <c r="F322" s="5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7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</row>
    <row r="323">
      <c r="A323" s="14"/>
      <c r="B323" s="3"/>
      <c r="C323" s="3"/>
      <c r="D323" s="3"/>
      <c r="E323" s="3"/>
      <c r="F323" s="5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7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</row>
    <row r="324">
      <c r="A324" s="14"/>
      <c r="B324" s="3"/>
      <c r="C324" s="3"/>
      <c r="D324" s="3"/>
      <c r="E324" s="3"/>
      <c r="F324" s="5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7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3"/>
      <c r="HT324" s="3"/>
    </row>
    <row r="325">
      <c r="A325" s="14"/>
      <c r="B325" s="3"/>
      <c r="C325" s="3"/>
      <c r="D325" s="3"/>
      <c r="E325" s="3"/>
      <c r="F325" s="5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7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</row>
    <row r="326">
      <c r="A326" s="14"/>
      <c r="B326" s="3"/>
      <c r="C326" s="3"/>
      <c r="D326" s="3"/>
      <c r="E326" s="3"/>
      <c r="F326" s="5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7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</row>
    <row r="327">
      <c r="A327" s="14"/>
      <c r="B327" s="3"/>
      <c r="C327" s="3"/>
      <c r="D327" s="3"/>
      <c r="E327" s="3"/>
      <c r="F327" s="5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7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</row>
    <row r="328">
      <c r="A328" s="14"/>
      <c r="B328" s="3"/>
      <c r="C328" s="3"/>
      <c r="D328" s="3"/>
      <c r="E328" s="3"/>
      <c r="F328" s="5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7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</row>
    <row r="329">
      <c r="A329" s="14"/>
      <c r="B329" s="3"/>
      <c r="C329" s="3"/>
      <c r="D329" s="3"/>
      <c r="E329" s="3"/>
      <c r="F329" s="5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7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</row>
    <row r="330">
      <c r="A330" s="14"/>
      <c r="B330" s="3"/>
      <c r="C330" s="3"/>
      <c r="D330" s="3"/>
      <c r="E330" s="3"/>
      <c r="F330" s="5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7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</row>
    <row r="331">
      <c r="A331" s="14"/>
      <c r="B331" s="3"/>
      <c r="C331" s="3"/>
      <c r="D331" s="3"/>
      <c r="E331" s="3"/>
      <c r="F331" s="5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7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</row>
    <row r="332">
      <c r="A332" s="14"/>
      <c r="B332" s="3"/>
      <c r="C332" s="3"/>
      <c r="D332" s="3"/>
      <c r="E332" s="3"/>
      <c r="F332" s="5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7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</row>
    <row r="333">
      <c r="A333" s="14"/>
      <c r="B333" s="3"/>
      <c r="C333" s="3"/>
      <c r="D333" s="3"/>
      <c r="E333" s="3"/>
      <c r="F333" s="5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7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3"/>
      <c r="HT333" s="3"/>
    </row>
    <row r="334">
      <c r="A334" s="14"/>
      <c r="B334" s="3"/>
      <c r="C334" s="3"/>
      <c r="D334" s="3"/>
      <c r="E334" s="3"/>
      <c r="F334" s="5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7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3"/>
      <c r="HT334" s="3"/>
    </row>
    <row r="335">
      <c r="A335" s="14"/>
      <c r="B335" s="3"/>
      <c r="C335" s="3"/>
      <c r="D335" s="3"/>
      <c r="E335" s="3"/>
      <c r="F335" s="5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7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3"/>
      <c r="HQ335" s="3"/>
      <c r="HR335" s="3"/>
      <c r="HS335" s="3"/>
      <c r="HT335" s="3"/>
    </row>
    <row r="336">
      <c r="A336" s="14"/>
      <c r="B336" s="3"/>
      <c r="C336" s="3"/>
      <c r="D336" s="3"/>
      <c r="E336" s="3"/>
      <c r="F336" s="5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7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</row>
    <row r="337">
      <c r="A337" s="14"/>
      <c r="B337" s="3"/>
      <c r="C337" s="3"/>
      <c r="D337" s="3"/>
      <c r="E337" s="3"/>
      <c r="F337" s="5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7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</row>
    <row r="338">
      <c r="A338" s="14"/>
      <c r="B338" s="3"/>
      <c r="C338" s="3"/>
      <c r="D338" s="3"/>
      <c r="E338" s="3"/>
      <c r="F338" s="5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7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HM338" s="3"/>
      <c r="HN338" s="3"/>
      <c r="HO338" s="3"/>
      <c r="HP338" s="3"/>
      <c r="HQ338" s="3"/>
      <c r="HR338" s="3"/>
      <c r="HS338" s="3"/>
      <c r="HT338" s="3"/>
    </row>
    <row r="339">
      <c r="A339" s="14"/>
      <c r="B339" s="3"/>
      <c r="C339" s="3"/>
      <c r="D339" s="3"/>
      <c r="E339" s="3"/>
      <c r="F339" s="5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7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3"/>
      <c r="HQ339" s="3"/>
      <c r="HR339" s="3"/>
      <c r="HS339" s="3"/>
      <c r="HT339" s="3"/>
    </row>
    <row r="340">
      <c r="A340" s="14"/>
      <c r="B340" s="3"/>
      <c r="C340" s="3"/>
      <c r="D340" s="3"/>
      <c r="E340" s="3"/>
      <c r="F340" s="5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7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</row>
    <row r="341">
      <c r="A341" s="14"/>
      <c r="B341" s="3"/>
      <c r="C341" s="3"/>
      <c r="D341" s="3"/>
      <c r="E341" s="3"/>
      <c r="F341" s="5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7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3"/>
      <c r="HQ341" s="3"/>
      <c r="HR341" s="3"/>
      <c r="HS341" s="3"/>
      <c r="HT341" s="3"/>
    </row>
    <row r="342">
      <c r="A342" s="14"/>
      <c r="B342" s="3"/>
      <c r="C342" s="3"/>
      <c r="D342" s="3"/>
      <c r="E342" s="3"/>
      <c r="F342" s="5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7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3"/>
      <c r="HQ342" s="3"/>
      <c r="HR342" s="3"/>
      <c r="HS342" s="3"/>
      <c r="HT342" s="3"/>
    </row>
    <row r="343">
      <c r="A343" s="14"/>
      <c r="B343" s="3"/>
      <c r="C343" s="3"/>
      <c r="D343" s="3"/>
      <c r="E343" s="3"/>
      <c r="F343" s="5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7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3"/>
      <c r="HQ343" s="3"/>
      <c r="HR343" s="3"/>
      <c r="HS343" s="3"/>
      <c r="HT343" s="3"/>
    </row>
    <row r="344">
      <c r="A344" s="14"/>
      <c r="B344" s="3"/>
      <c r="C344" s="3"/>
      <c r="D344" s="3"/>
      <c r="E344" s="3"/>
      <c r="F344" s="5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7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3"/>
      <c r="HT344" s="3"/>
    </row>
    <row r="345">
      <c r="A345" s="14"/>
      <c r="B345" s="3"/>
      <c r="C345" s="3"/>
      <c r="D345" s="3"/>
      <c r="E345" s="3"/>
      <c r="F345" s="5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7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</row>
    <row r="346">
      <c r="A346" s="14"/>
      <c r="B346" s="3"/>
      <c r="C346" s="3"/>
      <c r="D346" s="3"/>
      <c r="E346" s="3"/>
      <c r="F346" s="5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7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</row>
    <row r="347">
      <c r="A347" s="14"/>
      <c r="B347" s="3"/>
      <c r="C347" s="3"/>
      <c r="D347" s="3"/>
      <c r="E347" s="3"/>
      <c r="F347" s="5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7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3"/>
      <c r="HT347" s="3"/>
    </row>
    <row r="348">
      <c r="A348" s="14"/>
      <c r="B348" s="3"/>
      <c r="C348" s="3"/>
      <c r="D348" s="3"/>
      <c r="E348" s="3"/>
      <c r="F348" s="5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7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  <c r="HJ348" s="3"/>
      <c r="HK348" s="3"/>
      <c r="HL348" s="3"/>
      <c r="HM348" s="3"/>
      <c r="HN348" s="3"/>
      <c r="HO348" s="3"/>
      <c r="HP348" s="3"/>
      <c r="HQ348" s="3"/>
      <c r="HR348" s="3"/>
      <c r="HS348" s="3"/>
      <c r="HT348" s="3"/>
    </row>
    <row r="349">
      <c r="A349" s="14"/>
      <c r="B349" s="3"/>
      <c r="C349" s="3"/>
      <c r="D349" s="3"/>
      <c r="E349" s="3"/>
      <c r="F349" s="5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7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</row>
    <row r="350">
      <c r="A350" s="14"/>
      <c r="B350" s="3"/>
      <c r="C350" s="3"/>
      <c r="D350" s="3"/>
      <c r="E350" s="3"/>
      <c r="F350" s="5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7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/>
    </row>
    <row r="351">
      <c r="A351" s="14"/>
      <c r="B351" s="3"/>
      <c r="C351" s="3"/>
      <c r="D351" s="3"/>
      <c r="E351" s="3"/>
      <c r="F351" s="5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7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</row>
    <row r="352">
      <c r="A352" s="14"/>
      <c r="B352" s="3"/>
      <c r="C352" s="3"/>
      <c r="D352" s="3"/>
      <c r="E352" s="3"/>
      <c r="F352" s="5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7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</row>
    <row r="353">
      <c r="A353" s="14"/>
      <c r="B353" s="3"/>
      <c r="C353" s="3"/>
      <c r="D353" s="3"/>
      <c r="E353" s="3"/>
      <c r="F353" s="5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7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3"/>
      <c r="HT353" s="3"/>
    </row>
    <row r="354">
      <c r="A354" s="14"/>
      <c r="B354" s="3"/>
      <c r="C354" s="3"/>
      <c r="D354" s="3"/>
      <c r="E354" s="3"/>
      <c r="F354" s="5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7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</row>
    <row r="355">
      <c r="A355" s="14"/>
      <c r="B355" s="3"/>
      <c r="C355" s="3"/>
      <c r="D355" s="3"/>
      <c r="E355" s="3"/>
      <c r="F355" s="5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7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3"/>
      <c r="HT355" s="3"/>
    </row>
    <row r="356">
      <c r="A356" s="14"/>
      <c r="B356" s="3"/>
      <c r="C356" s="3"/>
      <c r="D356" s="3"/>
      <c r="E356" s="3"/>
      <c r="F356" s="5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7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3"/>
      <c r="HT356" s="3"/>
    </row>
    <row r="357">
      <c r="A357" s="14"/>
      <c r="B357" s="3"/>
      <c r="C357" s="3"/>
      <c r="D357" s="3"/>
      <c r="E357" s="3"/>
      <c r="F357" s="5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7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3"/>
      <c r="HT357" s="3"/>
    </row>
    <row r="358">
      <c r="A358" s="14"/>
      <c r="B358" s="3"/>
      <c r="C358" s="3"/>
      <c r="D358" s="3"/>
      <c r="E358" s="3"/>
      <c r="F358" s="5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7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</row>
    <row r="359">
      <c r="A359" s="14"/>
      <c r="B359" s="3"/>
      <c r="C359" s="3"/>
      <c r="D359" s="3"/>
      <c r="E359" s="3"/>
      <c r="F359" s="5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7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  <c r="HO359" s="3"/>
      <c r="HP359" s="3"/>
      <c r="HQ359" s="3"/>
      <c r="HR359" s="3"/>
      <c r="HS359" s="3"/>
      <c r="HT359" s="3"/>
    </row>
    <row r="360">
      <c r="A360" s="14"/>
      <c r="B360" s="3"/>
      <c r="C360" s="3"/>
      <c r="D360" s="3"/>
      <c r="E360" s="3"/>
      <c r="F360" s="5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7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</row>
    <row r="361">
      <c r="A361" s="14"/>
      <c r="B361" s="3"/>
      <c r="C361" s="3"/>
      <c r="D361" s="3"/>
      <c r="E361" s="3"/>
      <c r="F361" s="5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7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  <c r="HJ361" s="3"/>
      <c r="HK361" s="3"/>
      <c r="HL361" s="3"/>
      <c r="HM361" s="3"/>
      <c r="HN361" s="3"/>
      <c r="HO361" s="3"/>
      <c r="HP361" s="3"/>
      <c r="HQ361" s="3"/>
      <c r="HR361" s="3"/>
      <c r="HS361" s="3"/>
      <c r="HT361" s="3"/>
    </row>
    <row r="362">
      <c r="A362" s="14"/>
      <c r="B362" s="3"/>
      <c r="C362" s="3"/>
      <c r="D362" s="3"/>
      <c r="E362" s="3"/>
      <c r="F362" s="5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7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3"/>
      <c r="HT362" s="3"/>
    </row>
    <row r="363">
      <c r="A363" s="14"/>
      <c r="B363" s="3"/>
      <c r="C363" s="3"/>
      <c r="D363" s="3"/>
      <c r="E363" s="3"/>
      <c r="F363" s="5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7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</row>
    <row r="364">
      <c r="A364" s="14"/>
      <c r="B364" s="3"/>
      <c r="C364" s="3"/>
      <c r="D364" s="3"/>
      <c r="E364" s="3"/>
      <c r="F364" s="5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7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</row>
    <row r="365">
      <c r="A365" s="14"/>
      <c r="B365" s="3"/>
      <c r="C365" s="3"/>
      <c r="D365" s="3"/>
      <c r="E365" s="3"/>
      <c r="F365" s="5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7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  <c r="HJ365" s="3"/>
      <c r="HK365" s="3"/>
      <c r="HL365" s="3"/>
      <c r="HM365" s="3"/>
      <c r="HN365" s="3"/>
      <c r="HO365" s="3"/>
      <c r="HP365" s="3"/>
      <c r="HQ365" s="3"/>
      <c r="HR365" s="3"/>
      <c r="HS365" s="3"/>
      <c r="HT365" s="3"/>
    </row>
    <row r="366">
      <c r="A366" s="14"/>
      <c r="B366" s="3"/>
      <c r="C366" s="3"/>
      <c r="D366" s="3"/>
      <c r="E366" s="3"/>
      <c r="F366" s="5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7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I366" s="3"/>
      <c r="HJ366" s="3"/>
      <c r="HK366" s="3"/>
      <c r="HL366" s="3"/>
      <c r="HM366" s="3"/>
      <c r="HN366" s="3"/>
      <c r="HO366" s="3"/>
      <c r="HP366" s="3"/>
      <c r="HQ366" s="3"/>
      <c r="HR366" s="3"/>
      <c r="HS366" s="3"/>
      <c r="HT366" s="3"/>
    </row>
    <row r="367">
      <c r="A367" s="14"/>
      <c r="B367" s="3"/>
      <c r="C367" s="3"/>
      <c r="D367" s="3"/>
      <c r="E367" s="3"/>
      <c r="F367" s="5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7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  <c r="HJ367" s="3"/>
      <c r="HK367" s="3"/>
      <c r="HL367" s="3"/>
      <c r="HM367" s="3"/>
      <c r="HN367" s="3"/>
      <c r="HO367" s="3"/>
      <c r="HP367" s="3"/>
      <c r="HQ367" s="3"/>
      <c r="HR367" s="3"/>
      <c r="HS367" s="3"/>
      <c r="HT367" s="3"/>
    </row>
    <row r="368">
      <c r="A368" s="14"/>
      <c r="B368" s="3"/>
      <c r="C368" s="3"/>
      <c r="D368" s="3"/>
      <c r="E368" s="3"/>
      <c r="F368" s="5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7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I368" s="3"/>
      <c r="HJ368" s="3"/>
      <c r="HK368" s="3"/>
      <c r="HL368" s="3"/>
      <c r="HM368" s="3"/>
      <c r="HN368" s="3"/>
      <c r="HO368" s="3"/>
      <c r="HP368" s="3"/>
      <c r="HQ368" s="3"/>
      <c r="HR368" s="3"/>
      <c r="HS368" s="3"/>
      <c r="HT368" s="3"/>
    </row>
    <row r="369">
      <c r="A369" s="14"/>
      <c r="B369" s="3"/>
      <c r="C369" s="3"/>
      <c r="D369" s="3"/>
      <c r="E369" s="3"/>
      <c r="F369" s="5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7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  <c r="HJ369" s="3"/>
      <c r="HK369" s="3"/>
      <c r="HL369" s="3"/>
      <c r="HM369" s="3"/>
      <c r="HN369" s="3"/>
      <c r="HO369" s="3"/>
      <c r="HP369" s="3"/>
      <c r="HQ369" s="3"/>
      <c r="HR369" s="3"/>
      <c r="HS369" s="3"/>
      <c r="HT369" s="3"/>
    </row>
    <row r="370">
      <c r="A370" s="14"/>
      <c r="B370" s="3"/>
      <c r="C370" s="3"/>
      <c r="D370" s="3"/>
      <c r="E370" s="3"/>
      <c r="F370" s="5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7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  <c r="HJ370" s="3"/>
      <c r="HK370" s="3"/>
      <c r="HL370" s="3"/>
      <c r="HM370" s="3"/>
      <c r="HN370" s="3"/>
      <c r="HO370" s="3"/>
      <c r="HP370" s="3"/>
      <c r="HQ370" s="3"/>
      <c r="HR370" s="3"/>
      <c r="HS370" s="3"/>
      <c r="HT370" s="3"/>
    </row>
    <row r="371">
      <c r="A371" s="14"/>
      <c r="B371" s="3"/>
      <c r="C371" s="3"/>
      <c r="D371" s="3"/>
      <c r="E371" s="3"/>
      <c r="F371" s="5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7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  <c r="HJ371" s="3"/>
      <c r="HK371" s="3"/>
      <c r="HL371" s="3"/>
      <c r="HM371" s="3"/>
      <c r="HN371" s="3"/>
      <c r="HO371" s="3"/>
      <c r="HP371" s="3"/>
      <c r="HQ371" s="3"/>
      <c r="HR371" s="3"/>
      <c r="HS371" s="3"/>
      <c r="HT371" s="3"/>
    </row>
    <row r="372">
      <c r="A372" s="14"/>
      <c r="B372" s="3"/>
      <c r="C372" s="3"/>
      <c r="D372" s="3"/>
      <c r="E372" s="3"/>
      <c r="F372" s="5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7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  <c r="HJ372" s="3"/>
      <c r="HK372" s="3"/>
      <c r="HL372" s="3"/>
      <c r="HM372" s="3"/>
      <c r="HN372" s="3"/>
      <c r="HO372" s="3"/>
      <c r="HP372" s="3"/>
      <c r="HQ372" s="3"/>
      <c r="HR372" s="3"/>
      <c r="HS372" s="3"/>
      <c r="HT372" s="3"/>
    </row>
    <row r="373">
      <c r="A373" s="14"/>
      <c r="B373" s="3"/>
      <c r="C373" s="3"/>
      <c r="D373" s="3"/>
      <c r="E373" s="3"/>
      <c r="F373" s="5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7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I373" s="3"/>
      <c r="HJ373" s="3"/>
      <c r="HK373" s="3"/>
      <c r="HL373" s="3"/>
      <c r="HM373" s="3"/>
      <c r="HN373" s="3"/>
      <c r="HO373" s="3"/>
      <c r="HP373" s="3"/>
      <c r="HQ373" s="3"/>
      <c r="HR373" s="3"/>
      <c r="HS373" s="3"/>
      <c r="HT373" s="3"/>
    </row>
    <row r="374">
      <c r="A374" s="14"/>
      <c r="B374" s="3"/>
      <c r="C374" s="3"/>
      <c r="D374" s="3"/>
      <c r="E374" s="3"/>
      <c r="F374" s="5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7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HM374" s="3"/>
      <c r="HN374" s="3"/>
      <c r="HO374" s="3"/>
      <c r="HP374" s="3"/>
      <c r="HQ374" s="3"/>
      <c r="HR374" s="3"/>
      <c r="HS374" s="3"/>
      <c r="HT374" s="3"/>
    </row>
    <row r="375">
      <c r="A375" s="14"/>
      <c r="B375" s="3"/>
      <c r="C375" s="3"/>
      <c r="D375" s="3"/>
      <c r="E375" s="3"/>
      <c r="F375" s="5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7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  <c r="GZ375" s="3"/>
      <c r="HA375" s="3"/>
      <c r="HB375" s="3"/>
      <c r="HC375" s="3"/>
      <c r="HD375" s="3"/>
      <c r="HE375" s="3"/>
      <c r="HF375" s="3"/>
      <c r="HG375" s="3"/>
      <c r="HH375" s="3"/>
      <c r="HI375" s="3"/>
      <c r="HJ375" s="3"/>
      <c r="HK375" s="3"/>
      <c r="HL375" s="3"/>
      <c r="HM375" s="3"/>
      <c r="HN375" s="3"/>
      <c r="HO375" s="3"/>
      <c r="HP375" s="3"/>
      <c r="HQ375" s="3"/>
      <c r="HR375" s="3"/>
      <c r="HS375" s="3"/>
      <c r="HT375" s="3"/>
    </row>
    <row r="376">
      <c r="A376" s="14"/>
      <c r="B376" s="3"/>
      <c r="C376" s="3"/>
      <c r="D376" s="3"/>
      <c r="E376" s="3"/>
      <c r="F376" s="5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7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I376" s="3"/>
      <c r="HJ376" s="3"/>
      <c r="HK376" s="3"/>
      <c r="HL376" s="3"/>
      <c r="HM376" s="3"/>
      <c r="HN376" s="3"/>
      <c r="HO376" s="3"/>
      <c r="HP376" s="3"/>
      <c r="HQ376" s="3"/>
      <c r="HR376" s="3"/>
      <c r="HS376" s="3"/>
      <c r="HT376" s="3"/>
    </row>
    <row r="377">
      <c r="A377" s="14"/>
      <c r="B377" s="3"/>
      <c r="C377" s="3"/>
      <c r="D377" s="3"/>
      <c r="E377" s="3"/>
      <c r="F377" s="5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7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  <c r="HJ377" s="3"/>
      <c r="HK377" s="3"/>
      <c r="HL377" s="3"/>
      <c r="HM377" s="3"/>
      <c r="HN377" s="3"/>
      <c r="HO377" s="3"/>
      <c r="HP377" s="3"/>
      <c r="HQ377" s="3"/>
      <c r="HR377" s="3"/>
      <c r="HS377" s="3"/>
      <c r="HT377" s="3"/>
    </row>
    <row r="378">
      <c r="A378" s="14"/>
      <c r="B378" s="3"/>
      <c r="C378" s="3"/>
      <c r="D378" s="3"/>
      <c r="E378" s="3"/>
      <c r="F378" s="5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7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  <c r="HJ378" s="3"/>
      <c r="HK378" s="3"/>
      <c r="HL378" s="3"/>
      <c r="HM378" s="3"/>
      <c r="HN378" s="3"/>
      <c r="HO378" s="3"/>
      <c r="HP378" s="3"/>
      <c r="HQ378" s="3"/>
      <c r="HR378" s="3"/>
      <c r="HS378" s="3"/>
      <c r="HT378" s="3"/>
    </row>
    <row r="379">
      <c r="A379" s="14"/>
      <c r="B379" s="3"/>
      <c r="C379" s="3"/>
      <c r="D379" s="3"/>
      <c r="E379" s="3"/>
      <c r="F379" s="5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7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  <c r="HJ379" s="3"/>
      <c r="HK379" s="3"/>
      <c r="HL379" s="3"/>
      <c r="HM379" s="3"/>
      <c r="HN379" s="3"/>
      <c r="HO379" s="3"/>
      <c r="HP379" s="3"/>
      <c r="HQ379" s="3"/>
      <c r="HR379" s="3"/>
      <c r="HS379" s="3"/>
      <c r="HT379" s="3"/>
    </row>
    <row r="380">
      <c r="A380" s="14"/>
      <c r="B380" s="3"/>
      <c r="C380" s="3"/>
      <c r="D380" s="3"/>
      <c r="E380" s="3"/>
      <c r="F380" s="5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7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  <c r="HJ380" s="3"/>
      <c r="HK380" s="3"/>
      <c r="HL380" s="3"/>
      <c r="HM380" s="3"/>
      <c r="HN380" s="3"/>
      <c r="HO380" s="3"/>
      <c r="HP380" s="3"/>
      <c r="HQ380" s="3"/>
      <c r="HR380" s="3"/>
      <c r="HS380" s="3"/>
      <c r="HT380" s="3"/>
    </row>
    <row r="381">
      <c r="A381" s="14"/>
      <c r="B381" s="3"/>
      <c r="C381" s="3"/>
      <c r="D381" s="3"/>
      <c r="E381" s="3"/>
      <c r="F381" s="5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7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I381" s="3"/>
      <c r="HJ381" s="3"/>
      <c r="HK381" s="3"/>
      <c r="HL381" s="3"/>
      <c r="HM381" s="3"/>
      <c r="HN381" s="3"/>
      <c r="HO381" s="3"/>
      <c r="HP381" s="3"/>
      <c r="HQ381" s="3"/>
      <c r="HR381" s="3"/>
      <c r="HS381" s="3"/>
      <c r="HT381" s="3"/>
    </row>
    <row r="382">
      <c r="A382" s="14"/>
      <c r="B382" s="3"/>
      <c r="C382" s="3"/>
      <c r="D382" s="3"/>
      <c r="E382" s="3"/>
      <c r="F382" s="5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7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</row>
    <row r="383">
      <c r="A383" s="14"/>
      <c r="B383" s="3"/>
      <c r="C383" s="3"/>
      <c r="D383" s="3"/>
      <c r="E383" s="3"/>
      <c r="F383" s="5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7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  <c r="HJ383" s="3"/>
      <c r="HK383" s="3"/>
      <c r="HL383" s="3"/>
      <c r="HM383" s="3"/>
      <c r="HN383" s="3"/>
      <c r="HO383" s="3"/>
      <c r="HP383" s="3"/>
      <c r="HQ383" s="3"/>
      <c r="HR383" s="3"/>
      <c r="HS383" s="3"/>
      <c r="HT383" s="3"/>
    </row>
    <row r="384">
      <c r="A384" s="14"/>
      <c r="B384" s="3"/>
      <c r="C384" s="3"/>
      <c r="D384" s="3"/>
      <c r="E384" s="3"/>
      <c r="F384" s="5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7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HM384" s="3"/>
      <c r="HN384" s="3"/>
      <c r="HO384" s="3"/>
      <c r="HP384" s="3"/>
      <c r="HQ384" s="3"/>
      <c r="HR384" s="3"/>
      <c r="HS384" s="3"/>
      <c r="HT384" s="3"/>
    </row>
    <row r="385">
      <c r="A385" s="14"/>
      <c r="B385" s="3"/>
      <c r="C385" s="3"/>
      <c r="D385" s="3"/>
      <c r="E385" s="3"/>
      <c r="F385" s="5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7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  <c r="HJ385" s="3"/>
      <c r="HK385" s="3"/>
      <c r="HL385" s="3"/>
      <c r="HM385" s="3"/>
      <c r="HN385" s="3"/>
      <c r="HO385" s="3"/>
      <c r="HP385" s="3"/>
      <c r="HQ385" s="3"/>
      <c r="HR385" s="3"/>
      <c r="HS385" s="3"/>
      <c r="HT385" s="3"/>
    </row>
    <row r="386">
      <c r="A386" s="14"/>
      <c r="B386" s="3"/>
      <c r="C386" s="3"/>
      <c r="D386" s="3"/>
      <c r="E386" s="3"/>
      <c r="F386" s="5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7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  <c r="HJ386" s="3"/>
      <c r="HK386" s="3"/>
      <c r="HL386" s="3"/>
      <c r="HM386" s="3"/>
      <c r="HN386" s="3"/>
      <c r="HO386" s="3"/>
      <c r="HP386" s="3"/>
      <c r="HQ386" s="3"/>
      <c r="HR386" s="3"/>
      <c r="HS386" s="3"/>
      <c r="HT386" s="3"/>
    </row>
    <row r="387">
      <c r="A387" s="14"/>
      <c r="B387" s="3"/>
      <c r="C387" s="3"/>
      <c r="D387" s="3"/>
      <c r="E387" s="3"/>
      <c r="F387" s="5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7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  <c r="HJ387" s="3"/>
      <c r="HK387" s="3"/>
      <c r="HL387" s="3"/>
      <c r="HM387" s="3"/>
      <c r="HN387" s="3"/>
      <c r="HO387" s="3"/>
      <c r="HP387" s="3"/>
      <c r="HQ387" s="3"/>
      <c r="HR387" s="3"/>
      <c r="HS387" s="3"/>
      <c r="HT387" s="3"/>
    </row>
    <row r="388">
      <c r="A388" s="14"/>
      <c r="B388" s="3"/>
      <c r="C388" s="3"/>
      <c r="D388" s="3"/>
      <c r="E388" s="3"/>
      <c r="F388" s="5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7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  <c r="HJ388" s="3"/>
      <c r="HK388" s="3"/>
      <c r="HL388" s="3"/>
      <c r="HM388" s="3"/>
      <c r="HN388" s="3"/>
      <c r="HO388" s="3"/>
      <c r="HP388" s="3"/>
      <c r="HQ388" s="3"/>
      <c r="HR388" s="3"/>
      <c r="HS388" s="3"/>
      <c r="HT388" s="3"/>
    </row>
    <row r="389">
      <c r="A389" s="14"/>
      <c r="B389" s="3"/>
      <c r="C389" s="3"/>
      <c r="D389" s="3"/>
      <c r="E389" s="3"/>
      <c r="F389" s="5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7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/>
      <c r="HQ389" s="3"/>
      <c r="HR389" s="3"/>
      <c r="HS389" s="3"/>
      <c r="HT389" s="3"/>
    </row>
    <row r="390">
      <c r="A390" s="14"/>
      <c r="B390" s="3"/>
      <c r="C390" s="3"/>
      <c r="D390" s="3"/>
      <c r="E390" s="3"/>
      <c r="F390" s="5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7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</row>
    <row r="391">
      <c r="A391" s="14"/>
      <c r="B391" s="3"/>
      <c r="C391" s="3"/>
      <c r="D391" s="3"/>
      <c r="E391" s="3"/>
      <c r="F391" s="5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7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  <c r="HJ391" s="3"/>
      <c r="HK391" s="3"/>
      <c r="HL391" s="3"/>
      <c r="HM391" s="3"/>
      <c r="HN391" s="3"/>
      <c r="HO391" s="3"/>
      <c r="HP391" s="3"/>
      <c r="HQ391" s="3"/>
      <c r="HR391" s="3"/>
      <c r="HS391" s="3"/>
      <c r="HT391" s="3"/>
    </row>
    <row r="392">
      <c r="A392" s="14"/>
      <c r="B392" s="3"/>
      <c r="C392" s="3"/>
      <c r="D392" s="3"/>
      <c r="E392" s="3"/>
      <c r="F392" s="5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7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  <c r="HJ392" s="3"/>
      <c r="HK392" s="3"/>
      <c r="HL392" s="3"/>
      <c r="HM392" s="3"/>
      <c r="HN392" s="3"/>
      <c r="HO392" s="3"/>
      <c r="HP392" s="3"/>
      <c r="HQ392" s="3"/>
      <c r="HR392" s="3"/>
      <c r="HS392" s="3"/>
      <c r="HT392" s="3"/>
    </row>
    <row r="393">
      <c r="A393" s="14"/>
      <c r="B393" s="3"/>
      <c r="C393" s="3"/>
      <c r="D393" s="3"/>
      <c r="E393" s="3"/>
      <c r="F393" s="5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7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  <c r="HJ393" s="3"/>
      <c r="HK393" s="3"/>
      <c r="HL393" s="3"/>
      <c r="HM393" s="3"/>
      <c r="HN393" s="3"/>
      <c r="HO393" s="3"/>
      <c r="HP393" s="3"/>
      <c r="HQ393" s="3"/>
      <c r="HR393" s="3"/>
      <c r="HS393" s="3"/>
      <c r="HT393" s="3"/>
    </row>
    <row r="394">
      <c r="A394" s="14"/>
      <c r="B394" s="3"/>
      <c r="C394" s="3"/>
      <c r="D394" s="3"/>
      <c r="E394" s="3"/>
      <c r="F394" s="5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7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  <c r="HJ394" s="3"/>
      <c r="HK394" s="3"/>
      <c r="HL394" s="3"/>
      <c r="HM394" s="3"/>
      <c r="HN394" s="3"/>
      <c r="HO394" s="3"/>
      <c r="HP394" s="3"/>
      <c r="HQ394" s="3"/>
      <c r="HR394" s="3"/>
      <c r="HS394" s="3"/>
      <c r="HT394" s="3"/>
    </row>
    <row r="395">
      <c r="A395" s="14"/>
      <c r="B395" s="3"/>
      <c r="C395" s="3"/>
      <c r="D395" s="3"/>
      <c r="E395" s="3"/>
      <c r="F395" s="5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7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</row>
    <row r="396">
      <c r="A396" s="14"/>
      <c r="B396" s="3"/>
      <c r="C396" s="3"/>
      <c r="D396" s="3"/>
      <c r="E396" s="3"/>
      <c r="F396" s="5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7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  <c r="HJ396" s="3"/>
      <c r="HK396" s="3"/>
      <c r="HL396" s="3"/>
      <c r="HM396" s="3"/>
      <c r="HN396" s="3"/>
      <c r="HO396" s="3"/>
      <c r="HP396" s="3"/>
      <c r="HQ396" s="3"/>
      <c r="HR396" s="3"/>
      <c r="HS396" s="3"/>
      <c r="HT396" s="3"/>
    </row>
    <row r="397">
      <c r="A397" s="14"/>
      <c r="B397" s="3"/>
      <c r="C397" s="3"/>
      <c r="D397" s="3"/>
      <c r="E397" s="3"/>
      <c r="F397" s="5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7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I397" s="3"/>
      <c r="HJ397" s="3"/>
      <c r="HK397" s="3"/>
      <c r="HL397" s="3"/>
      <c r="HM397" s="3"/>
      <c r="HN397" s="3"/>
      <c r="HO397" s="3"/>
      <c r="HP397" s="3"/>
      <c r="HQ397" s="3"/>
      <c r="HR397" s="3"/>
      <c r="HS397" s="3"/>
      <c r="HT397" s="3"/>
    </row>
    <row r="398">
      <c r="A398" s="14"/>
      <c r="B398" s="3"/>
      <c r="C398" s="3"/>
      <c r="D398" s="3"/>
      <c r="E398" s="3"/>
      <c r="F398" s="5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7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  <c r="HJ398" s="3"/>
      <c r="HK398" s="3"/>
      <c r="HL398" s="3"/>
      <c r="HM398" s="3"/>
      <c r="HN398" s="3"/>
      <c r="HO398" s="3"/>
      <c r="HP398" s="3"/>
      <c r="HQ398" s="3"/>
      <c r="HR398" s="3"/>
      <c r="HS398" s="3"/>
      <c r="HT398" s="3"/>
    </row>
    <row r="399">
      <c r="A399" s="14"/>
      <c r="B399" s="3"/>
      <c r="C399" s="3"/>
      <c r="D399" s="3"/>
      <c r="E399" s="3"/>
      <c r="F399" s="5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7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  <c r="HJ399" s="3"/>
      <c r="HK399" s="3"/>
      <c r="HL399" s="3"/>
      <c r="HM399" s="3"/>
      <c r="HN399" s="3"/>
      <c r="HO399" s="3"/>
      <c r="HP399" s="3"/>
      <c r="HQ399" s="3"/>
      <c r="HR399" s="3"/>
      <c r="HS399" s="3"/>
      <c r="HT399" s="3"/>
    </row>
    <row r="400">
      <c r="A400" s="14"/>
      <c r="B400" s="3"/>
      <c r="C400" s="3"/>
      <c r="D400" s="3"/>
      <c r="E400" s="3"/>
      <c r="F400" s="5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7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I400" s="3"/>
      <c r="HJ400" s="3"/>
      <c r="HK400" s="3"/>
      <c r="HL400" s="3"/>
      <c r="HM400" s="3"/>
      <c r="HN400" s="3"/>
      <c r="HO400" s="3"/>
      <c r="HP400" s="3"/>
      <c r="HQ400" s="3"/>
      <c r="HR400" s="3"/>
      <c r="HS400" s="3"/>
      <c r="HT400" s="3"/>
    </row>
    <row r="401">
      <c r="A401" s="14"/>
      <c r="B401" s="3"/>
      <c r="C401" s="3"/>
      <c r="D401" s="3"/>
      <c r="E401" s="3"/>
      <c r="F401" s="5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7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  <c r="HJ401" s="3"/>
      <c r="HK401" s="3"/>
      <c r="HL401" s="3"/>
      <c r="HM401" s="3"/>
      <c r="HN401" s="3"/>
      <c r="HO401" s="3"/>
      <c r="HP401" s="3"/>
      <c r="HQ401" s="3"/>
      <c r="HR401" s="3"/>
      <c r="HS401" s="3"/>
      <c r="HT401" s="3"/>
    </row>
    <row r="402">
      <c r="A402" s="14"/>
      <c r="B402" s="3"/>
      <c r="C402" s="3"/>
      <c r="D402" s="3"/>
      <c r="E402" s="3"/>
      <c r="F402" s="5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7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  <c r="HJ402" s="3"/>
      <c r="HK402" s="3"/>
      <c r="HL402" s="3"/>
      <c r="HM402" s="3"/>
      <c r="HN402" s="3"/>
      <c r="HO402" s="3"/>
      <c r="HP402" s="3"/>
      <c r="HQ402" s="3"/>
      <c r="HR402" s="3"/>
      <c r="HS402" s="3"/>
      <c r="HT402" s="3"/>
    </row>
    <row r="403">
      <c r="A403" s="14"/>
      <c r="B403" s="3"/>
      <c r="C403" s="3"/>
      <c r="D403" s="3"/>
      <c r="E403" s="3"/>
      <c r="F403" s="5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7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  <c r="HJ403" s="3"/>
      <c r="HK403" s="3"/>
      <c r="HL403" s="3"/>
      <c r="HM403" s="3"/>
      <c r="HN403" s="3"/>
      <c r="HO403" s="3"/>
      <c r="HP403" s="3"/>
      <c r="HQ403" s="3"/>
      <c r="HR403" s="3"/>
      <c r="HS403" s="3"/>
      <c r="HT403" s="3"/>
    </row>
    <row r="404">
      <c r="A404" s="14"/>
      <c r="B404" s="3"/>
      <c r="C404" s="3"/>
      <c r="D404" s="3"/>
      <c r="E404" s="3"/>
      <c r="F404" s="5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7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  <c r="HJ404" s="3"/>
      <c r="HK404" s="3"/>
      <c r="HL404" s="3"/>
      <c r="HM404" s="3"/>
      <c r="HN404" s="3"/>
      <c r="HO404" s="3"/>
      <c r="HP404" s="3"/>
      <c r="HQ404" s="3"/>
      <c r="HR404" s="3"/>
      <c r="HS404" s="3"/>
      <c r="HT404" s="3"/>
    </row>
    <row r="405">
      <c r="A405" s="14"/>
      <c r="B405" s="3"/>
      <c r="C405" s="3"/>
      <c r="D405" s="3"/>
      <c r="E405" s="3"/>
      <c r="F405" s="5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7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  <c r="HJ405" s="3"/>
      <c r="HK405" s="3"/>
      <c r="HL405" s="3"/>
      <c r="HM405" s="3"/>
      <c r="HN405" s="3"/>
      <c r="HO405" s="3"/>
      <c r="HP405" s="3"/>
      <c r="HQ405" s="3"/>
      <c r="HR405" s="3"/>
      <c r="HS405" s="3"/>
      <c r="HT405" s="3"/>
    </row>
    <row r="406">
      <c r="A406" s="14"/>
      <c r="B406" s="3"/>
      <c r="C406" s="3"/>
      <c r="D406" s="3"/>
      <c r="E406" s="3"/>
      <c r="F406" s="5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7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I406" s="3"/>
      <c r="HJ406" s="3"/>
      <c r="HK406" s="3"/>
      <c r="HL406" s="3"/>
      <c r="HM406" s="3"/>
      <c r="HN406" s="3"/>
      <c r="HO406" s="3"/>
      <c r="HP406" s="3"/>
      <c r="HQ406" s="3"/>
      <c r="HR406" s="3"/>
      <c r="HS406" s="3"/>
      <c r="HT406" s="3"/>
    </row>
    <row r="407">
      <c r="A407" s="14"/>
      <c r="B407" s="3"/>
      <c r="C407" s="3"/>
      <c r="D407" s="3"/>
      <c r="E407" s="3"/>
      <c r="F407" s="5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7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HM407" s="3"/>
      <c r="HN407" s="3"/>
      <c r="HO407" s="3"/>
      <c r="HP407" s="3"/>
      <c r="HQ407" s="3"/>
      <c r="HR407" s="3"/>
      <c r="HS407" s="3"/>
      <c r="HT407" s="3"/>
    </row>
    <row r="408">
      <c r="A408" s="14"/>
      <c r="B408" s="3"/>
      <c r="C408" s="3"/>
      <c r="D408" s="3"/>
      <c r="E408" s="3"/>
      <c r="F408" s="5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7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  <c r="HJ408" s="3"/>
      <c r="HK408" s="3"/>
      <c r="HL408" s="3"/>
      <c r="HM408" s="3"/>
      <c r="HN408" s="3"/>
      <c r="HO408" s="3"/>
      <c r="HP408" s="3"/>
      <c r="HQ408" s="3"/>
      <c r="HR408" s="3"/>
      <c r="HS408" s="3"/>
      <c r="HT408" s="3"/>
    </row>
    <row r="409">
      <c r="A409" s="14"/>
      <c r="B409" s="3"/>
      <c r="C409" s="3"/>
      <c r="D409" s="3"/>
      <c r="E409" s="3"/>
      <c r="F409" s="5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7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3"/>
      <c r="HS409" s="3"/>
      <c r="HT409" s="3"/>
    </row>
    <row r="410">
      <c r="A410" s="14"/>
      <c r="B410" s="3"/>
      <c r="C410" s="3"/>
      <c r="D410" s="3"/>
      <c r="E410" s="3"/>
      <c r="F410" s="5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7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  <c r="HJ410" s="3"/>
      <c r="HK410" s="3"/>
      <c r="HL410" s="3"/>
      <c r="HM410" s="3"/>
      <c r="HN410" s="3"/>
      <c r="HO410" s="3"/>
      <c r="HP410" s="3"/>
      <c r="HQ410" s="3"/>
      <c r="HR410" s="3"/>
      <c r="HS410" s="3"/>
      <c r="HT410" s="3"/>
    </row>
    <row r="411">
      <c r="A411" s="14"/>
      <c r="B411" s="3"/>
      <c r="C411" s="3"/>
      <c r="D411" s="3"/>
      <c r="E411" s="3"/>
      <c r="F411" s="5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7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  <c r="HJ411" s="3"/>
      <c r="HK411" s="3"/>
      <c r="HL411" s="3"/>
      <c r="HM411" s="3"/>
      <c r="HN411" s="3"/>
      <c r="HO411" s="3"/>
      <c r="HP411" s="3"/>
      <c r="HQ411" s="3"/>
      <c r="HR411" s="3"/>
      <c r="HS411" s="3"/>
      <c r="HT411" s="3"/>
    </row>
    <row r="412">
      <c r="A412" s="14"/>
      <c r="B412" s="3"/>
      <c r="C412" s="3"/>
      <c r="D412" s="3"/>
      <c r="E412" s="3"/>
      <c r="F412" s="5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7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  <c r="HJ412" s="3"/>
      <c r="HK412" s="3"/>
      <c r="HL412" s="3"/>
      <c r="HM412" s="3"/>
      <c r="HN412" s="3"/>
      <c r="HO412" s="3"/>
      <c r="HP412" s="3"/>
      <c r="HQ412" s="3"/>
      <c r="HR412" s="3"/>
      <c r="HS412" s="3"/>
      <c r="HT412" s="3"/>
    </row>
    <row r="413">
      <c r="A413" s="14"/>
      <c r="B413" s="3"/>
      <c r="C413" s="3"/>
      <c r="D413" s="3"/>
      <c r="E413" s="3"/>
      <c r="F413" s="5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7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HM413" s="3"/>
      <c r="HN413" s="3"/>
      <c r="HO413" s="3"/>
      <c r="HP413" s="3"/>
      <c r="HQ413" s="3"/>
      <c r="HR413" s="3"/>
      <c r="HS413" s="3"/>
      <c r="HT413" s="3"/>
    </row>
    <row r="414">
      <c r="A414" s="14"/>
      <c r="B414" s="3"/>
      <c r="C414" s="3"/>
      <c r="D414" s="3"/>
      <c r="E414" s="3"/>
      <c r="F414" s="5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7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  <c r="HO414" s="3"/>
      <c r="HP414" s="3"/>
      <c r="HQ414" s="3"/>
      <c r="HR414" s="3"/>
      <c r="HS414" s="3"/>
      <c r="HT414" s="3"/>
    </row>
    <row r="415">
      <c r="A415" s="14"/>
      <c r="B415" s="3"/>
      <c r="C415" s="3"/>
      <c r="D415" s="3"/>
      <c r="E415" s="3"/>
      <c r="F415" s="5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7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  <c r="HJ415" s="3"/>
      <c r="HK415" s="3"/>
      <c r="HL415" s="3"/>
      <c r="HM415" s="3"/>
      <c r="HN415" s="3"/>
      <c r="HO415" s="3"/>
      <c r="HP415" s="3"/>
      <c r="HQ415" s="3"/>
      <c r="HR415" s="3"/>
      <c r="HS415" s="3"/>
      <c r="HT415" s="3"/>
    </row>
    <row r="416">
      <c r="A416" s="14"/>
      <c r="B416" s="3"/>
      <c r="C416" s="3"/>
      <c r="D416" s="3"/>
      <c r="E416" s="3"/>
      <c r="F416" s="5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7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  <c r="HJ416" s="3"/>
      <c r="HK416" s="3"/>
      <c r="HL416" s="3"/>
      <c r="HM416" s="3"/>
      <c r="HN416" s="3"/>
      <c r="HO416" s="3"/>
      <c r="HP416" s="3"/>
      <c r="HQ416" s="3"/>
      <c r="HR416" s="3"/>
      <c r="HS416" s="3"/>
      <c r="HT416" s="3"/>
    </row>
    <row r="417">
      <c r="A417" s="14"/>
      <c r="B417" s="3"/>
      <c r="C417" s="3"/>
      <c r="D417" s="3"/>
      <c r="E417" s="3"/>
      <c r="F417" s="5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7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</row>
    <row r="418">
      <c r="A418" s="14"/>
      <c r="B418" s="3"/>
      <c r="C418" s="3"/>
      <c r="D418" s="3"/>
      <c r="E418" s="3"/>
      <c r="F418" s="5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7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  <c r="HJ418" s="3"/>
      <c r="HK418" s="3"/>
      <c r="HL418" s="3"/>
      <c r="HM418" s="3"/>
      <c r="HN418" s="3"/>
      <c r="HO418" s="3"/>
      <c r="HP418" s="3"/>
      <c r="HQ418" s="3"/>
      <c r="HR418" s="3"/>
      <c r="HS418" s="3"/>
      <c r="HT418" s="3"/>
    </row>
    <row r="419">
      <c r="A419" s="14"/>
      <c r="B419" s="3"/>
      <c r="C419" s="3"/>
      <c r="D419" s="3"/>
      <c r="E419" s="3"/>
      <c r="F419" s="5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7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  <c r="HJ419" s="3"/>
      <c r="HK419" s="3"/>
      <c r="HL419" s="3"/>
      <c r="HM419" s="3"/>
      <c r="HN419" s="3"/>
      <c r="HO419" s="3"/>
      <c r="HP419" s="3"/>
      <c r="HQ419" s="3"/>
      <c r="HR419" s="3"/>
      <c r="HS419" s="3"/>
      <c r="HT419" s="3"/>
    </row>
    <row r="420">
      <c r="A420" s="14"/>
      <c r="B420" s="3"/>
      <c r="C420" s="3"/>
      <c r="D420" s="3"/>
      <c r="E420" s="3"/>
      <c r="F420" s="5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7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  <c r="HJ420" s="3"/>
      <c r="HK420" s="3"/>
      <c r="HL420" s="3"/>
      <c r="HM420" s="3"/>
      <c r="HN420" s="3"/>
      <c r="HO420" s="3"/>
      <c r="HP420" s="3"/>
      <c r="HQ420" s="3"/>
      <c r="HR420" s="3"/>
      <c r="HS420" s="3"/>
      <c r="HT420" s="3"/>
    </row>
    <row r="421">
      <c r="A421" s="14"/>
      <c r="B421" s="3"/>
      <c r="C421" s="3"/>
      <c r="D421" s="3"/>
      <c r="E421" s="3"/>
      <c r="F421" s="5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7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I421" s="3"/>
      <c r="HJ421" s="3"/>
      <c r="HK421" s="3"/>
      <c r="HL421" s="3"/>
      <c r="HM421" s="3"/>
      <c r="HN421" s="3"/>
      <c r="HO421" s="3"/>
      <c r="HP421" s="3"/>
      <c r="HQ421" s="3"/>
      <c r="HR421" s="3"/>
      <c r="HS421" s="3"/>
      <c r="HT421" s="3"/>
    </row>
    <row r="422">
      <c r="A422" s="14"/>
      <c r="B422" s="3"/>
      <c r="C422" s="3"/>
      <c r="D422" s="3"/>
      <c r="E422" s="3"/>
      <c r="F422" s="5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7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  <c r="HJ422" s="3"/>
      <c r="HK422" s="3"/>
      <c r="HL422" s="3"/>
      <c r="HM422" s="3"/>
      <c r="HN422" s="3"/>
      <c r="HO422" s="3"/>
      <c r="HP422" s="3"/>
      <c r="HQ422" s="3"/>
      <c r="HR422" s="3"/>
      <c r="HS422" s="3"/>
      <c r="HT422" s="3"/>
    </row>
    <row r="423">
      <c r="A423" s="14"/>
      <c r="B423" s="3"/>
      <c r="C423" s="3"/>
      <c r="D423" s="3"/>
      <c r="E423" s="3"/>
      <c r="F423" s="5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7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HM423" s="3"/>
      <c r="HN423" s="3"/>
      <c r="HO423" s="3"/>
      <c r="HP423" s="3"/>
      <c r="HQ423" s="3"/>
      <c r="HR423" s="3"/>
      <c r="HS423" s="3"/>
      <c r="HT423" s="3"/>
    </row>
    <row r="424">
      <c r="A424" s="14"/>
      <c r="B424" s="3"/>
      <c r="C424" s="3"/>
      <c r="D424" s="3"/>
      <c r="E424" s="3"/>
      <c r="F424" s="5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7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  <c r="HJ424" s="3"/>
      <c r="HK424" s="3"/>
      <c r="HL424" s="3"/>
      <c r="HM424" s="3"/>
      <c r="HN424" s="3"/>
      <c r="HO424" s="3"/>
      <c r="HP424" s="3"/>
      <c r="HQ424" s="3"/>
      <c r="HR424" s="3"/>
      <c r="HS424" s="3"/>
      <c r="HT424" s="3"/>
    </row>
    <row r="425">
      <c r="A425" s="14"/>
      <c r="B425" s="3"/>
      <c r="C425" s="3"/>
      <c r="D425" s="3"/>
      <c r="E425" s="3"/>
      <c r="F425" s="5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7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</row>
    <row r="426">
      <c r="A426" s="14"/>
      <c r="B426" s="3"/>
      <c r="C426" s="3"/>
      <c r="D426" s="3"/>
      <c r="E426" s="3"/>
      <c r="F426" s="5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7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HM426" s="3"/>
      <c r="HN426" s="3"/>
      <c r="HO426" s="3"/>
      <c r="HP426" s="3"/>
      <c r="HQ426" s="3"/>
      <c r="HR426" s="3"/>
      <c r="HS426" s="3"/>
      <c r="HT426" s="3"/>
    </row>
    <row r="427">
      <c r="A427" s="14"/>
      <c r="B427" s="3"/>
      <c r="C427" s="3"/>
      <c r="D427" s="3"/>
      <c r="E427" s="3"/>
      <c r="F427" s="5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7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/>
      <c r="HQ427" s="3"/>
      <c r="HR427" s="3"/>
      <c r="HS427" s="3"/>
      <c r="HT427" s="3"/>
    </row>
    <row r="428">
      <c r="A428" s="14"/>
      <c r="B428" s="3"/>
      <c r="C428" s="3"/>
      <c r="D428" s="3"/>
      <c r="E428" s="3"/>
      <c r="F428" s="5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7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</row>
    <row r="429">
      <c r="A429" s="14"/>
      <c r="B429" s="3"/>
      <c r="C429" s="3"/>
      <c r="D429" s="3"/>
      <c r="E429" s="3"/>
      <c r="F429" s="5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7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HM429" s="3"/>
      <c r="HN429" s="3"/>
      <c r="HO429" s="3"/>
      <c r="HP429" s="3"/>
      <c r="HQ429" s="3"/>
      <c r="HR429" s="3"/>
      <c r="HS429" s="3"/>
      <c r="HT429" s="3"/>
    </row>
    <row r="430">
      <c r="A430" s="14"/>
      <c r="B430" s="3"/>
      <c r="C430" s="3"/>
      <c r="D430" s="3"/>
      <c r="E430" s="3"/>
      <c r="F430" s="5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7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/>
      <c r="HQ430" s="3"/>
      <c r="HR430" s="3"/>
      <c r="HS430" s="3"/>
      <c r="HT430" s="3"/>
    </row>
    <row r="431">
      <c r="A431" s="14"/>
      <c r="B431" s="3"/>
      <c r="C431" s="3"/>
      <c r="D431" s="3"/>
      <c r="E431" s="3"/>
      <c r="F431" s="5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7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HM431" s="3"/>
      <c r="HN431" s="3"/>
      <c r="HO431" s="3"/>
      <c r="HP431" s="3"/>
      <c r="HQ431" s="3"/>
      <c r="HR431" s="3"/>
      <c r="HS431" s="3"/>
      <c r="HT431" s="3"/>
    </row>
    <row r="432">
      <c r="A432" s="14"/>
      <c r="B432" s="3"/>
      <c r="C432" s="3"/>
      <c r="D432" s="3"/>
      <c r="E432" s="3"/>
      <c r="F432" s="5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7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</row>
    <row r="433">
      <c r="A433" s="14"/>
      <c r="B433" s="3"/>
      <c r="C433" s="3"/>
      <c r="D433" s="3"/>
      <c r="E433" s="3"/>
      <c r="F433" s="5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7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</row>
    <row r="434">
      <c r="A434" s="14"/>
      <c r="B434" s="3"/>
      <c r="C434" s="3"/>
      <c r="D434" s="3"/>
      <c r="E434" s="3"/>
      <c r="F434" s="5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7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  <c r="HJ434" s="3"/>
      <c r="HK434" s="3"/>
      <c r="HL434" s="3"/>
      <c r="HM434" s="3"/>
      <c r="HN434" s="3"/>
      <c r="HO434" s="3"/>
      <c r="HP434" s="3"/>
      <c r="HQ434" s="3"/>
      <c r="HR434" s="3"/>
      <c r="HS434" s="3"/>
      <c r="HT434" s="3"/>
    </row>
    <row r="435">
      <c r="A435" s="14"/>
      <c r="B435" s="3"/>
      <c r="C435" s="3"/>
      <c r="D435" s="3"/>
      <c r="E435" s="3"/>
      <c r="F435" s="5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7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  <c r="HJ435" s="3"/>
      <c r="HK435" s="3"/>
      <c r="HL435" s="3"/>
      <c r="HM435" s="3"/>
      <c r="HN435" s="3"/>
      <c r="HO435" s="3"/>
      <c r="HP435" s="3"/>
      <c r="HQ435" s="3"/>
      <c r="HR435" s="3"/>
      <c r="HS435" s="3"/>
      <c r="HT435" s="3"/>
    </row>
    <row r="436">
      <c r="A436" s="14"/>
      <c r="B436" s="3"/>
      <c r="C436" s="3"/>
      <c r="D436" s="3"/>
      <c r="E436" s="3"/>
      <c r="F436" s="5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7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HM436" s="3"/>
      <c r="HN436" s="3"/>
      <c r="HO436" s="3"/>
      <c r="HP436" s="3"/>
      <c r="HQ436" s="3"/>
      <c r="HR436" s="3"/>
      <c r="HS436" s="3"/>
      <c r="HT436" s="3"/>
    </row>
    <row r="437">
      <c r="A437" s="14"/>
      <c r="B437" s="3"/>
      <c r="C437" s="3"/>
      <c r="D437" s="3"/>
      <c r="E437" s="3"/>
      <c r="F437" s="5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7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HM437" s="3"/>
      <c r="HN437" s="3"/>
      <c r="HO437" s="3"/>
      <c r="HP437" s="3"/>
      <c r="HQ437" s="3"/>
      <c r="HR437" s="3"/>
      <c r="HS437" s="3"/>
      <c r="HT437" s="3"/>
    </row>
    <row r="438">
      <c r="A438" s="14"/>
      <c r="B438" s="3"/>
      <c r="C438" s="3"/>
      <c r="D438" s="3"/>
      <c r="E438" s="3"/>
      <c r="F438" s="5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7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  <c r="HJ438" s="3"/>
      <c r="HK438" s="3"/>
      <c r="HL438" s="3"/>
      <c r="HM438" s="3"/>
      <c r="HN438" s="3"/>
      <c r="HO438" s="3"/>
      <c r="HP438" s="3"/>
      <c r="HQ438" s="3"/>
      <c r="HR438" s="3"/>
      <c r="HS438" s="3"/>
      <c r="HT438" s="3"/>
    </row>
    <row r="439">
      <c r="A439" s="14"/>
      <c r="B439" s="3"/>
      <c r="C439" s="3"/>
      <c r="D439" s="3"/>
      <c r="E439" s="3"/>
      <c r="F439" s="5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7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HM439" s="3"/>
      <c r="HN439" s="3"/>
      <c r="HO439" s="3"/>
      <c r="HP439" s="3"/>
      <c r="HQ439" s="3"/>
      <c r="HR439" s="3"/>
      <c r="HS439" s="3"/>
      <c r="HT439" s="3"/>
    </row>
    <row r="440">
      <c r="A440" s="14"/>
      <c r="B440" s="3"/>
      <c r="C440" s="3"/>
      <c r="D440" s="3"/>
      <c r="E440" s="3"/>
      <c r="F440" s="5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7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</row>
    <row r="441">
      <c r="A441" s="14"/>
      <c r="B441" s="3"/>
      <c r="C441" s="3"/>
      <c r="D441" s="3"/>
      <c r="E441" s="3"/>
      <c r="F441" s="5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7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HM441" s="3"/>
      <c r="HN441" s="3"/>
      <c r="HO441" s="3"/>
      <c r="HP441" s="3"/>
      <c r="HQ441" s="3"/>
      <c r="HR441" s="3"/>
      <c r="HS441" s="3"/>
      <c r="HT441" s="3"/>
    </row>
    <row r="442">
      <c r="A442" s="14"/>
      <c r="B442" s="3"/>
      <c r="C442" s="3"/>
      <c r="D442" s="3"/>
      <c r="E442" s="3"/>
      <c r="F442" s="5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7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  <c r="HJ442" s="3"/>
      <c r="HK442" s="3"/>
      <c r="HL442" s="3"/>
      <c r="HM442" s="3"/>
      <c r="HN442" s="3"/>
      <c r="HO442" s="3"/>
      <c r="HP442" s="3"/>
      <c r="HQ442" s="3"/>
      <c r="HR442" s="3"/>
      <c r="HS442" s="3"/>
      <c r="HT442" s="3"/>
    </row>
    <row r="443">
      <c r="A443" s="14"/>
      <c r="B443" s="3"/>
      <c r="C443" s="3"/>
      <c r="D443" s="3"/>
      <c r="E443" s="3"/>
      <c r="F443" s="5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7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</row>
    <row r="444">
      <c r="A444" s="14"/>
      <c r="B444" s="3"/>
      <c r="C444" s="3"/>
      <c r="D444" s="3"/>
      <c r="E444" s="3"/>
      <c r="F444" s="5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7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  <c r="HO444" s="3"/>
      <c r="HP444" s="3"/>
      <c r="HQ444" s="3"/>
      <c r="HR444" s="3"/>
      <c r="HS444" s="3"/>
      <c r="HT444" s="3"/>
    </row>
    <row r="445">
      <c r="A445" s="14"/>
      <c r="B445" s="3"/>
      <c r="C445" s="3"/>
      <c r="D445" s="3"/>
      <c r="E445" s="3"/>
      <c r="F445" s="5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7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  <c r="HJ445" s="3"/>
      <c r="HK445" s="3"/>
      <c r="HL445" s="3"/>
      <c r="HM445" s="3"/>
      <c r="HN445" s="3"/>
      <c r="HO445" s="3"/>
      <c r="HP445" s="3"/>
      <c r="HQ445" s="3"/>
      <c r="HR445" s="3"/>
      <c r="HS445" s="3"/>
      <c r="HT445" s="3"/>
    </row>
    <row r="446">
      <c r="A446" s="14"/>
      <c r="B446" s="3"/>
      <c r="C446" s="3"/>
      <c r="D446" s="3"/>
      <c r="E446" s="3"/>
      <c r="F446" s="5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7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HM446" s="3"/>
      <c r="HN446" s="3"/>
      <c r="HO446" s="3"/>
      <c r="HP446" s="3"/>
      <c r="HQ446" s="3"/>
      <c r="HR446" s="3"/>
      <c r="HS446" s="3"/>
      <c r="HT446" s="3"/>
    </row>
    <row r="447">
      <c r="A447" s="14"/>
      <c r="B447" s="3"/>
      <c r="C447" s="3"/>
      <c r="D447" s="3"/>
      <c r="E447" s="3"/>
      <c r="F447" s="5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7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HM447" s="3"/>
      <c r="HN447" s="3"/>
      <c r="HO447" s="3"/>
      <c r="HP447" s="3"/>
      <c r="HQ447" s="3"/>
      <c r="HR447" s="3"/>
      <c r="HS447" s="3"/>
      <c r="HT447" s="3"/>
    </row>
    <row r="448">
      <c r="A448" s="14"/>
      <c r="B448" s="3"/>
      <c r="C448" s="3"/>
      <c r="D448" s="3"/>
      <c r="E448" s="3"/>
      <c r="F448" s="5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7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/>
      <c r="HQ448" s="3"/>
      <c r="HR448" s="3"/>
      <c r="HS448" s="3"/>
      <c r="HT448" s="3"/>
    </row>
    <row r="449">
      <c r="A449" s="14"/>
      <c r="B449" s="3"/>
      <c r="C449" s="3"/>
      <c r="D449" s="3"/>
      <c r="E449" s="3"/>
      <c r="F449" s="5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7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HM449" s="3"/>
      <c r="HN449" s="3"/>
      <c r="HO449" s="3"/>
      <c r="HP449" s="3"/>
      <c r="HQ449" s="3"/>
      <c r="HR449" s="3"/>
      <c r="HS449" s="3"/>
      <c r="HT449" s="3"/>
    </row>
    <row r="450">
      <c r="A450" s="14"/>
      <c r="B450" s="3"/>
      <c r="C450" s="3"/>
      <c r="D450" s="3"/>
      <c r="E450" s="3"/>
      <c r="F450" s="5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7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HM450" s="3"/>
      <c r="HN450" s="3"/>
      <c r="HO450" s="3"/>
      <c r="HP450" s="3"/>
      <c r="HQ450" s="3"/>
      <c r="HR450" s="3"/>
      <c r="HS450" s="3"/>
      <c r="HT450" s="3"/>
    </row>
    <row r="451">
      <c r="A451" s="14"/>
      <c r="B451" s="3"/>
      <c r="C451" s="3"/>
      <c r="D451" s="3"/>
      <c r="E451" s="3"/>
      <c r="F451" s="5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7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  <c r="HJ451" s="3"/>
      <c r="HK451" s="3"/>
      <c r="HL451" s="3"/>
      <c r="HM451" s="3"/>
      <c r="HN451" s="3"/>
      <c r="HO451" s="3"/>
      <c r="HP451" s="3"/>
      <c r="HQ451" s="3"/>
      <c r="HR451" s="3"/>
      <c r="HS451" s="3"/>
      <c r="HT451" s="3"/>
    </row>
    <row r="452">
      <c r="A452" s="14"/>
      <c r="B452" s="3"/>
      <c r="C452" s="3"/>
      <c r="D452" s="3"/>
      <c r="E452" s="3"/>
      <c r="F452" s="5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7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  <c r="HJ452" s="3"/>
      <c r="HK452" s="3"/>
      <c r="HL452" s="3"/>
      <c r="HM452" s="3"/>
      <c r="HN452" s="3"/>
      <c r="HO452" s="3"/>
      <c r="HP452" s="3"/>
      <c r="HQ452" s="3"/>
      <c r="HR452" s="3"/>
      <c r="HS452" s="3"/>
      <c r="HT452" s="3"/>
    </row>
    <row r="453">
      <c r="A453" s="14"/>
      <c r="B453" s="3"/>
      <c r="C453" s="3"/>
      <c r="D453" s="3"/>
      <c r="E453" s="3"/>
      <c r="F453" s="5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7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  <c r="HJ453" s="3"/>
      <c r="HK453" s="3"/>
      <c r="HL453" s="3"/>
      <c r="HM453" s="3"/>
      <c r="HN453" s="3"/>
      <c r="HO453" s="3"/>
      <c r="HP453" s="3"/>
      <c r="HQ453" s="3"/>
      <c r="HR453" s="3"/>
      <c r="HS453" s="3"/>
      <c r="HT453" s="3"/>
    </row>
    <row r="454">
      <c r="A454" s="14"/>
      <c r="B454" s="3"/>
      <c r="C454" s="3"/>
      <c r="D454" s="3"/>
      <c r="E454" s="3"/>
      <c r="F454" s="5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7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HM454" s="3"/>
      <c r="HN454" s="3"/>
      <c r="HO454" s="3"/>
      <c r="HP454" s="3"/>
      <c r="HQ454" s="3"/>
      <c r="HR454" s="3"/>
      <c r="HS454" s="3"/>
      <c r="HT454" s="3"/>
    </row>
    <row r="455">
      <c r="A455" s="14"/>
      <c r="B455" s="3"/>
      <c r="C455" s="3"/>
      <c r="D455" s="3"/>
      <c r="E455" s="3"/>
      <c r="F455" s="5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7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  <c r="HJ455" s="3"/>
      <c r="HK455" s="3"/>
      <c r="HL455" s="3"/>
      <c r="HM455" s="3"/>
      <c r="HN455" s="3"/>
      <c r="HO455" s="3"/>
      <c r="HP455" s="3"/>
      <c r="HQ455" s="3"/>
      <c r="HR455" s="3"/>
      <c r="HS455" s="3"/>
      <c r="HT455" s="3"/>
    </row>
    <row r="456">
      <c r="A456" s="14"/>
      <c r="B456" s="3"/>
      <c r="C456" s="3"/>
      <c r="D456" s="3"/>
      <c r="E456" s="3"/>
      <c r="F456" s="5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7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/>
      <c r="HQ456" s="3"/>
      <c r="HR456" s="3"/>
      <c r="HS456" s="3"/>
      <c r="HT456" s="3"/>
    </row>
    <row r="457">
      <c r="A457" s="14"/>
      <c r="B457" s="3"/>
      <c r="C457" s="3"/>
      <c r="D457" s="3"/>
      <c r="E457" s="3"/>
      <c r="F457" s="5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7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  <c r="HJ457" s="3"/>
      <c r="HK457" s="3"/>
      <c r="HL457" s="3"/>
      <c r="HM457" s="3"/>
      <c r="HN457" s="3"/>
      <c r="HO457" s="3"/>
      <c r="HP457" s="3"/>
      <c r="HQ457" s="3"/>
      <c r="HR457" s="3"/>
      <c r="HS457" s="3"/>
      <c r="HT457" s="3"/>
    </row>
    <row r="458">
      <c r="A458" s="14"/>
      <c r="B458" s="3"/>
      <c r="C458" s="3"/>
      <c r="D458" s="3"/>
      <c r="E458" s="3"/>
      <c r="F458" s="5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7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  <c r="HJ458" s="3"/>
      <c r="HK458" s="3"/>
      <c r="HL458" s="3"/>
      <c r="HM458" s="3"/>
      <c r="HN458" s="3"/>
      <c r="HO458" s="3"/>
      <c r="HP458" s="3"/>
      <c r="HQ458" s="3"/>
      <c r="HR458" s="3"/>
      <c r="HS458" s="3"/>
      <c r="HT458" s="3"/>
    </row>
    <row r="459">
      <c r="A459" s="14"/>
      <c r="B459" s="3"/>
      <c r="C459" s="3"/>
      <c r="D459" s="3"/>
      <c r="E459" s="3"/>
      <c r="F459" s="5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7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3"/>
    </row>
    <row r="460">
      <c r="A460" s="14"/>
      <c r="B460" s="3"/>
      <c r="C460" s="3"/>
      <c r="D460" s="3"/>
      <c r="E460" s="3"/>
      <c r="F460" s="5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7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</row>
    <row r="461">
      <c r="A461" s="14"/>
      <c r="B461" s="3"/>
      <c r="C461" s="3"/>
      <c r="D461" s="3"/>
      <c r="E461" s="3"/>
      <c r="F461" s="5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7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/>
      <c r="HQ461" s="3"/>
      <c r="HR461" s="3"/>
      <c r="HS461" s="3"/>
      <c r="HT461" s="3"/>
    </row>
    <row r="462">
      <c r="A462" s="14"/>
      <c r="B462" s="3"/>
      <c r="C462" s="3"/>
      <c r="D462" s="3"/>
      <c r="E462" s="3"/>
      <c r="F462" s="5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7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</row>
    <row r="463">
      <c r="A463" s="14"/>
      <c r="B463" s="3"/>
      <c r="C463" s="3"/>
      <c r="D463" s="3"/>
      <c r="E463" s="3"/>
      <c r="F463" s="5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7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HM463" s="3"/>
      <c r="HN463" s="3"/>
      <c r="HO463" s="3"/>
      <c r="HP463" s="3"/>
      <c r="HQ463" s="3"/>
      <c r="HR463" s="3"/>
      <c r="HS463" s="3"/>
      <c r="HT463" s="3"/>
    </row>
    <row r="464">
      <c r="A464" s="14"/>
      <c r="B464" s="3"/>
      <c r="C464" s="3"/>
      <c r="D464" s="3"/>
      <c r="E464" s="3"/>
      <c r="F464" s="5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7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</row>
    <row r="465">
      <c r="A465" s="14"/>
      <c r="B465" s="3"/>
      <c r="C465" s="3"/>
      <c r="D465" s="3"/>
      <c r="E465" s="3"/>
      <c r="F465" s="5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7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</row>
    <row r="466">
      <c r="A466" s="14"/>
      <c r="B466" s="3"/>
      <c r="C466" s="3"/>
      <c r="D466" s="3"/>
      <c r="E466" s="3"/>
      <c r="F466" s="5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7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</row>
    <row r="467">
      <c r="A467" s="14"/>
      <c r="B467" s="3"/>
      <c r="C467" s="3"/>
      <c r="D467" s="3"/>
      <c r="E467" s="3"/>
      <c r="F467" s="5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7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</row>
    <row r="468">
      <c r="A468" s="14"/>
      <c r="B468" s="3"/>
      <c r="C468" s="3"/>
      <c r="D468" s="3"/>
      <c r="E468" s="3"/>
      <c r="F468" s="5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7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</row>
    <row r="469">
      <c r="A469" s="14"/>
      <c r="B469" s="3"/>
      <c r="C469" s="3"/>
      <c r="D469" s="3"/>
      <c r="E469" s="3"/>
      <c r="F469" s="5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7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  <c r="HO469" s="3"/>
      <c r="HP469" s="3"/>
      <c r="HQ469" s="3"/>
      <c r="HR469" s="3"/>
      <c r="HS469" s="3"/>
      <c r="HT469" s="3"/>
    </row>
    <row r="470">
      <c r="A470" s="14"/>
      <c r="B470" s="3"/>
      <c r="C470" s="3"/>
      <c r="D470" s="3"/>
      <c r="E470" s="3"/>
      <c r="F470" s="5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7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/>
      <c r="HQ470" s="3"/>
      <c r="HR470" s="3"/>
      <c r="HS470" s="3"/>
      <c r="HT470" s="3"/>
    </row>
    <row r="471">
      <c r="A471" s="14"/>
      <c r="B471" s="3"/>
      <c r="C471" s="3"/>
      <c r="D471" s="3"/>
      <c r="E471" s="3"/>
      <c r="F471" s="5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7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/>
      <c r="HQ471" s="3"/>
      <c r="HR471" s="3"/>
      <c r="HS471" s="3"/>
      <c r="HT471" s="3"/>
    </row>
    <row r="472">
      <c r="A472" s="14"/>
      <c r="B472" s="3"/>
      <c r="C472" s="3"/>
      <c r="D472" s="3"/>
      <c r="E472" s="3"/>
      <c r="F472" s="5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7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</row>
    <row r="473">
      <c r="A473" s="14"/>
      <c r="B473" s="3"/>
      <c r="C473" s="3"/>
      <c r="D473" s="3"/>
      <c r="E473" s="3"/>
      <c r="F473" s="5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7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</row>
    <row r="474">
      <c r="A474" s="14"/>
      <c r="B474" s="3"/>
      <c r="C474" s="3"/>
      <c r="D474" s="3"/>
      <c r="E474" s="3"/>
      <c r="F474" s="5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7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</row>
    <row r="475">
      <c r="A475" s="14"/>
      <c r="B475" s="3"/>
      <c r="C475" s="3"/>
      <c r="D475" s="3"/>
      <c r="E475" s="3"/>
      <c r="F475" s="5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7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</row>
    <row r="476">
      <c r="A476" s="14"/>
      <c r="B476" s="3"/>
      <c r="C476" s="3"/>
      <c r="D476" s="3"/>
      <c r="E476" s="3"/>
      <c r="F476" s="5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7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</row>
    <row r="477">
      <c r="A477" s="14"/>
      <c r="B477" s="3"/>
      <c r="C477" s="3"/>
      <c r="D477" s="3"/>
      <c r="E477" s="3"/>
      <c r="F477" s="5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7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</row>
    <row r="478">
      <c r="A478" s="14"/>
      <c r="B478" s="3"/>
      <c r="C478" s="3"/>
      <c r="D478" s="3"/>
      <c r="E478" s="3"/>
      <c r="F478" s="5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7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</row>
    <row r="479">
      <c r="A479" s="14"/>
      <c r="B479" s="3"/>
      <c r="C479" s="3"/>
      <c r="D479" s="3"/>
      <c r="E479" s="3"/>
      <c r="F479" s="5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7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</row>
    <row r="480">
      <c r="A480" s="14"/>
      <c r="B480" s="3"/>
      <c r="C480" s="3"/>
      <c r="D480" s="3"/>
      <c r="E480" s="3"/>
      <c r="F480" s="5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7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</row>
    <row r="481">
      <c r="A481" s="14"/>
      <c r="B481" s="3"/>
      <c r="C481" s="3"/>
      <c r="D481" s="3"/>
      <c r="E481" s="3"/>
      <c r="F481" s="5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7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</row>
    <row r="482">
      <c r="A482" s="14"/>
      <c r="B482" s="3"/>
      <c r="C482" s="3"/>
      <c r="D482" s="3"/>
      <c r="E482" s="3"/>
      <c r="F482" s="5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7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</row>
    <row r="483">
      <c r="A483" s="14"/>
      <c r="B483" s="3"/>
      <c r="C483" s="3"/>
      <c r="D483" s="3"/>
      <c r="E483" s="3"/>
      <c r="F483" s="5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7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</row>
    <row r="484">
      <c r="A484" s="14"/>
      <c r="B484" s="3"/>
      <c r="C484" s="3"/>
      <c r="D484" s="3"/>
      <c r="E484" s="3"/>
      <c r="F484" s="5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7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</row>
    <row r="485">
      <c r="A485" s="14"/>
      <c r="B485" s="3"/>
      <c r="C485" s="3"/>
      <c r="D485" s="3"/>
      <c r="E485" s="3"/>
      <c r="F485" s="5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7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</row>
    <row r="486">
      <c r="A486" s="14"/>
      <c r="B486" s="3"/>
      <c r="C486" s="3"/>
      <c r="D486" s="3"/>
      <c r="E486" s="3"/>
      <c r="F486" s="5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7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</row>
    <row r="487">
      <c r="A487" s="14"/>
      <c r="B487" s="3"/>
      <c r="C487" s="3"/>
      <c r="D487" s="3"/>
      <c r="E487" s="3"/>
      <c r="F487" s="5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7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</row>
    <row r="488">
      <c r="A488" s="14"/>
      <c r="B488" s="3"/>
      <c r="C488" s="3"/>
      <c r="D488" s="3"/>
      <c r="E488" s="3"/>
      <c r="F488" s="5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7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</row>
    <row r="489">
      <c r="A489" s="14"/>
      <c r="B489" s="3"/>
      <c r="C489" s="3"/>
      <c r="D489" s="3"/>
      <c r="E489" s="3"/>
      <c r="F489" s="5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7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</row>
    <row r="490">
      <c r="A490" s="14"/>
      <c r="B490" s="3"/>
      <c r="C490" s="3"/>
      <c r="D490" s="3"/>
      <c r="E490" s="3"/>
      <c r="F490" s="5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7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</row>
    <row r="491">
      <c r="A491" s="14"/>
      <c r="B491" s="3"/>
      <c r="C491" s="3"/>
      <c r="D491" s="3"/>
      <c r="E491" s="3"/>
      <c r="F491" s="5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7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</row>
    <row r="492">
      <c r="A492" s="14"/>
      <c r="B492" s="3"/>
      <c r="C492" s="3"/>
      <c r="D492" s="3"/>
      <c r="E492" s="3"/>
      <c r="F492" s="5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7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</row>
    <row r="493">
      <c r="A493" s="14"/>
      <c r="B493" s="3"/>
      <c r="C493" s="3"/>
      <c r="D493" s="3"/>
      <c r="E493" s="3"/>
      <c r="F493" s="5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7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</row>
    <row r="494">
      <c r="A494" s="14"/>
      <c r="B494" s="3"/>
      <c r="C494" s="3"/>
      <c r="D494" s="3"/>
      <c r="E494" s="3"/>
      <c r="F494" s="5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7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</row>
    <row r="495">
      <c r="A495" s="14"/>
      <c r="B495" s="3"/>
      <c r="C495" s="3"/>
      <c r="D495" s="3"/>
      <c r="E495" s="3"/>
      <c r="F495" s="5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7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</row>
    <row r="496">
      <c r="A496" s="14"/>
      <c r="B496" s="3"/>
      <c r="C496" s="3"/>
      <c r="D496" s="3"/>
      <c r="E496" s="3"/>
      <c r="F496" s="5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7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</row>
    <row r="497">
      <c r="A497" s="14"/>
      <c r="B497" s="3"/>
      <c r="C497" s="3"/>
      <c r="D497" s="3"/>
      <c r="E497" s="3"/>
      <c r="F497" s="5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7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</row>
    <row r="498">
      <c r="A498" s="14"/>
      <c r="B498" s="3"/>
      <c r="C498" s="3"/>
      <c r="D498" s="3"/>
      <c r="E498" s="3"/>
      <c r="F498" s="5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7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</row>
    <row r="499">
      <c r="A499" s="14"/>
      <c r="B499" s="3"/>
      <c r="C499" s="3"/>
      <c r="D499" s="3"/>
      <c r="E499" s="3"/>
      <c r="F499" s="5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7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</row>
    <row r="500">
      <c r="A500" s="14"/>
      <c r="B500" s="3"/>
      <c r="C500" s="3"/>
      <c r="D500" s="3"/>
      <c r="E500" s="3"/>
      <c r="F500" s="5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7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</row>
    <row r="501">
      <c r="A501" s="14"/>
      <c r="B501" s="3"/>
      <c r="C501" s="3"/>
      <c r="D501" s="3"/>
      <c r="E501" s="3"/>
      <c r="F501" s="5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7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I501" s="3"/>
      <c r="HJ501" s="3"/>
      <c r="HK501" s="3"/>
      <c r="HL501" s="3"/>
      <c r="HM501" s="3"/>
      <c r="HN501" s="3"/>
      <c r="HO501" s="3"/>
      <c r="HP501" s="3"/>
      <c r="HQ501" s="3"/>
      <c r="HR501" s="3"/>
      <c r="HS501" s="3"/>
      <c r="HT501" s="3"/>
    </row>
    <row r="502">
      <c r="A502" s="14"/>
      <c r="B502" s="3"/>
      <c r="C502" s="3"/>
      <c r="D502" s="3"/>
      <c r="E502" s="3"/>
      <c r="F502" s="5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7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  <c r="GZ502" s="3"/>
      <c r="HA502" s="3"/>
      <c r="HB502" s="3"/>
      <c r="HC502" s="3"/>
      <c r="HD502" s="3"/>
      <c r="HE502" s="3"/>
      <c r="HF502" s="3"/>
      <c r="HG502" s="3"/>
      <c r="HH502" s="3"/>
      <c r="HI502" s="3"/>
      <c r="HJ502" s="3"/>
      <c r="HK502" s="3"/>
      <c r="HL502" s="3"/>
      <c r="HM502" s="3"/>
      <c r="HN502" s="3"/>
      <c r="HO502" s="3"/>
      <c r="HP502" s="3"/>
      <c r="HQ502" s="3"/>
      <c r="HR502" s="3"/>
      <c r="HS502" s="3"/>
      <c r="HT502" s="3"/>
    </row>
    <row r="503">
      <c r="A503" s="14"/>
      <c r="B503" s="3"/>
      <c r="C503" s="3"/>
      <c r="D503" s="3"/>
      <c r="E503" s="3"/>
      <c r="F503" s="5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7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I503" s="3"/>
      <c r="HJ503" s="3"/>
      <c r="HK503" s="3"/>
      <c r="HL503" s="3"/>
      <c r="HM503" s="3"/>
      <c r="HN503" s="3"/>
      <c r="HO503" s="3"/>
      <c r="HP503" s="3"/>
      <c r="HQ503" s="3"/>
      <c r="HR503" s="3"/>
      <c r="HS503" s="3"/>
      <c r="HT503" s="3"/>
    </row>
    <row r="504">
      <c r="A504" s="14"/>
      <c r="B504" s="3"/>
      <c r="C504" s="3"/>
      <c r="D504" s="3"/>
      <c r="E504" s="3"/>
      <c r="F504" s="5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7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I504" s="3"/>
      <c r="HJ504" s="3"/>
      <c r="HK504" s="3"/>
      <c r="HL504" s="3"/>
      <c r="HM504" s="3"/>
      <c r="HN504" s="3"/>
      <c r="HO504" s="3"/>
      <c r="HP504" s="3"/>
      <c r="HQ504" s="3"/>
      <c r="HR504" s="3"/>
      <c r="HS504" s="3"/>
      <c r="HT504" s="3"/>
    </row>
    <row r="505">
      <c r="A505" s="14"/>
      <c r="B505" s="3"/>
      <c r="C505" s="3"/>
      <c r="D505" s="3"/>
      <c r="E505" s="3"/>
      <c r="F505" s="5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7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  <c r="GZ505" s="3"/>
      <c r="HA505" s="3"/>
      <c r="HB505" s="3"/>
      <c r="HC505" s="3"/>
      <c r="HD505" s="3"/>
      <c r="HE505" s="3"/>
      <c r="HF505" s="3"/>
      <c r="HG505" s="3"/>
      <c r="HH505" s="3"/>
      <c r="HI505" s="3"/>
      <c r="HJ505" s="3"/>
      <c r="HK505" s="3"/>
      <c r="HL505" s="3"/>
      <c r="HM505" s="3"/>
      <c r="HN505" s="3"/>
      <c r="HO505" s="3"/>
      <c r="HP505" s="3"/>
      <c r="HQ505" s="3"/>
      <c r="HR505" s="3"/>
      <c r="HS505" s="3"/>
      <c r="HT505" s="3"/>
    </row>
    <row r="506">
      <c r="A506" s="14"/>
      <c r="B506" s="3"/>
      <c r="C506" s="3"/>
      <c r="D506" s="3"/>
      <c r="E506" s="3"/>
      <c r="F506" s="5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7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3"/>
      <c r="HD506" s="3"/>
      <c r="HE506" s="3"/>
      <c r="HF506" s="3"/>
      <c r="HG506" s="3"/>
      <c r="HH506" s="3"/>
      <c r="HI506" s="3"/>
      <c r="HJ506" s="3"/>
      <c r="HK506" s="3"/>
      <c r="HL506" s="3"/>
      <c r="HM506" s="3"/>
      <c r="HN506" s="3"/>
      <c r="HO506" s="3"/>
      <c r="HP506" s="3"/>
      <c r="HQ506" s="3"/>
      <c r="HR506" s="3"/>
      <c r="HS506" s="3"/>
      <c r="HT506" s="3"/>
    </row>
    <row r="507">
      <c r="A507" s="14"/>
      <c r="B507" s="3"/>
      <c r="C507" s="3"/>
      <c r="D507" s="3"/>
      <c r="E507" s="3"/>
      <c r="F507" s="5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7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3"/>
      <c r="HD507" s="3"/>
      <c r="HE507" s="3"/>
      <c r="HF507" s="3"/>
      <c r="HG507" s="3"/>
      <c r="HH507" s="3"/>
      <c r="HI507" s="3"/>
      <c r="HJ507" s="3"/>
      <c r="HK507" s="3"/>
      <c r="HL507" s="3"/>
      <c r="HM507" s="3"/>
      <c r="HN507" s="3"/>
      <c r="HO507" s="3"/>
      <c r="HP507" s="3"/>
      <c r="HQ507" s="3"/>
      <c r="HR507" s="3"/>
      <c r="HS507" s="3"/>
      <c r="HT507" s="3"/>
    </row>
    <row r="508">
      <c r="A508" s="14"/>
      <c r="B508" s="3"/>
      <c r="C508" s="3"/>
      <c r="D508" s="3"/>
      <c r="E508" s="3"/>
      <c r="F508" s="5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7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  <c r="GZ508" s="3"/>
      <c r="HA508" s="3"/>
      <c r="HB508" s="3"/>
      <c r="HC508" s="3"/>
      <c r="HD508" s="3"/>
      <c r="HE508" s="3"/>
      <c r="HF508" s="3"/>
      <c r="HG508" s="3"/>
      <c r="HH508" s="3"/>
      <c r="HI508" s="3"/>
      <c r="HJ508" s="3"/>
      <c r="HK508" s="3"/>
      <c r="HL508" s="3"/>
      <c r="HM508" s="3"/>
      <c r="HN508" s="3"/>
      <c r="HO508" s="3"/>
      <c r="HP508" s="3"/>
      <c r="HQ508" s="3"/>
      <c r="HR508" s="3"/>
      <c r="HS508" s="3"/>
      <c r="HT508" s="3"/>
    </row>
    <row r="509">
      <c r="A509" s="14"/>
      <c r="B509" s="3"/>
      <c r="C509" s="3"/>
      <c r="D509" s="3"/>
      <c r="E509" s="3"/>
      <c r="F509" s="5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7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  <c r="GZ509" s="3"/>
      <c r="HA509" s="3"/>
      <c r="HB509" s="3"/>
      <c r="HC509" s="3"/>
      <c r="HD509" s="3"/>
      <c r="HE509" s="3"/>
      <c r="HF509" s="3"/>
      <c r="HG509" s="3"/>
      <c r="HH509" s="3"/>
      <c r="HI509" s="3"/>
      <c r="HJ509" s="3"/>
      <c r="HK509" s="3"/>
      <c r="HL509" s="3"/>
      <c r="HM509" s="3"/>
      <c r="HN509" s="3"/>
      <c r="HO509" s="3"/>
      <c r="HP509" s="3"/>
      <c r="HQ509" s="3"/>
      <c r="HR509" s="3"/>
      <c r="HS509" s="3"/>
      <c r="HT509" s="3"/>
    </row>
    <row r="510">
      <c r="A510" s="14"/>
      <c r="B510" s="3"/>
      <c r="C510" s="3"/>
      <c r="D510" s="3"/>
      <c r="E510" s="3"/>
      <c r="F510" s="5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7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  <c r="GO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  <c r="GZ510" s="3"/>
      <c r="HA510" s="3"/>
      <c r="HB510" s="3"/>
      <c r="HC510" s="3"/>
      <c r="HD510" s="3"/>
      <c r="HE510" s="3"/>
      <c r="HF510" s="3"/>
      <c r="HG510" s="3"/>
      <c r="HH510" s="3"/>
      <c r="HI510" s="3"/>
      <c r="HJ510" s="3"/>
      <c r="HK510" s="3"/>
      <c r="HL510" s="3"/>
      <c r="HM510" s="3"/>
      <c r="HN510" s="3"/>
      <c r="HO510" s="3"/>
      <c r="HP510" s="3"/>
      <c r="HQ510" s="3"/>
      <c r="HR510" s="3"/>
      <c r="HS510" s="3"/>
      <c r="HT510" s="3"/>
    </row>
    <row r="511">
      <c r="A511" s="14"/>
      <c r="B511" s="3"/>
      <c r="C511" s="3"/>
      <c r="D511" s="3"/>
      <c r="E511" s="3"/>
      <c r="F511" s="5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7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  <c r="GH511" s="3"/>
      <c r="GI511" s="3"/>
      <c r="GJ511" s="3"/>
      <c r="GK511" s="3"/>
      <c r="GL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  <c r="GZ511" s="3"/>
      <c r="HA511" s="3"/>
      <c r="HB511" s="3"/>
      <c r="HC511" s="3"/>
      <c r="HD511" s="3"/>
      <c r="HE511" s="3"/>
      <c r="HF511" s="3"/>
      <c r="HG511" s="3"/>
      <c r="HH511" s="3"/>
      <c r="HI511" s="3"/>
      <c r="HJ511" s="3"/>
      <c r="HK511" s="3"/>
      <c r="HL511" s="3"/>
      <c r="HM511" s="3"/>
      <c r="HN511" s="3"/>
      <c r="HO511" s="3"/>
      <c r="HP511" s="3"/>
      <c r="HQ511" s="3"/>
      <c r="HR511" s="3"/>
      <c r="HS511" s="3"/>
      <c r="HT511" s="3"/>
    </row>
    <row r="512">
      <c r="A512" s="14"/>
      <c r="B512" s="3"/>
      <c r="C512" s="3"/>
      <c r="D512" s="3"/>
      <c r="E512" s="3"/>
      <c r="F512" s="5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7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  <c r="GZ512" s="3"/>
      <c r="HA512" s="3"/>
      <c r="HB512" s="3"/>
      <c r="HC512" s="3"/>
      <c r="HD512" s="3"/>
      <c r="HE512" s="3"/>
      <c r="HF512" s="3"/>
      <c r="HG512" s="3"/>
      <c r="HH512" s="3"/>
      <c r="HI512" s="3"/>
      <c r="HJ512" s="3"/>
      <c r="HK512" s="3"/>
      <c r="HL512" s="3"/>
      <c r="HM512" s="3"/>
      <c r="HN512" s="3"/>
      <c r="HO512" s="3"/>
      <c r="HP512" s="3"/>
      <c r="HQ512" s="3"/>
      <c r="HR512" s="3"/>
      <c r="HS512" s="3"/>
      <c r="HT512" s="3"/>
    </row>
    <row r="513">
      <c r="A513" s="14"/>
      <c r="B513" s="3"/>
      <c r="C513" s="3"/>
      <c r="D513" s="3"/>
      <c r="E513" s="3"/>
      <c r="F513" s="5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7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  <c r="GZ513" s="3"/>
      <c r="HA513" s="3"/>
      <c r="HB513" s="3"/>
      <c r="HC513" s="3"/>
      <c r="HD513" s="3"/>
      <c r="HE513" s="3"/>
      <c r="HF513" s="3"/>
      <c r="HG513" s="3"/>
      <c r="HH513" s="3"/>
      <c r="HI513" s="3"/>
      <c r="HJ513" s="3"/>
      <c r="HK513" s="3"/>
      <c r="HL513" s="3"/>
      <c r="HM513" s="3"/>
      <c r="HN513" s="3"/>
      <c r="HO513" s="3"/>
      <c r="HP513" s="3"/>
      <c r="HQ513" s="3"/>
      <c r="HR513" s="3"/>
      <c r="HS513" s="3"/>
      <c r="HT513" s="3"/>
    </row>
    <row r="514">
      <c r="A514" s="14"/>
      <c r="B514" s="3"/>
      <c r="C514" s="3"/>
      <c r="D514" s="3"/>
      <c r="E514" s="3"/>
      <c r="F514" s="5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7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  <c r="GZ514" s="3"/>
      <c r="HA514" s="3"/>
      <c r="HB514" s="3"/>
      <c r="HC514" s="3"/>
      <c r="HD514" s="3"/>
      <c r="HE514" s="3"/>
      <c r="HF514" s="3"/>
      <c r="HG514" s="3"/>
      <c r="HH514" s="3"/>
      <c r="HI514" s="3"/>
      <c r="HJ514" s="3"/>
      <c r="HK514" s="3"/>
      <c r="HL514" s="3"/>
      <c r="HM514" s="3"/>
      <c r="HN514" s="3"/>
      <c r="HO514" s="3"/>
      <c r="HP514" s="3"/>
      <c r="HQ514" s="3"/>
      <c r="HR514" s="3"/>
      <c r="HS514" s="3"/>
      <c r="HT514" s="3"/>
    </row>
    <row r="515">
      <c r="A515" s="14"/>
      <c r="B515" s="3"/>
      <c r="C515" s="3"/>
      <c r="D515" s="3"/>
      <c r="E515" s="3"/>
      <c r="F515" s="5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7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  <c r="GZ515" s="3"/>
      <c r="HA515" s="3"/>
      <c r="HB515" s="3"/>
      <c r="HC515" s="3"/>
      <c r="HD515" s="3"/>
      <c r="HE515" s="3"/>
      <c r="HF515" s="3"/>
      <c r="HG515" s="3"/>
      <c r="HH515" s="3"/>
      <c r="HI515" s="3"/>
      <c r="HJ515" s="3"/>
      <c r="HK515" s="3"/>
      <c r="HL515" s="3"/>
      <c r="HM515" s="3"/>
      <c r="HN515" s="3"/>
      <c r="HO515" s="3"/>
      <c r="HP515" s="3"/>
      <c r="HQ515" s="3"/>
      <c r="HR515" s="3"/>
      <c r="HS515" s="3"/>
      <c r="HT515" s="3"/>
    </row>
    <row r="516">
      <c r="A516" s="14"/>
      <c r="B516" s="3"/>
      <c r="C516" s="3"/>
      <c r="D516" s="3"/>
      <c r="E516" s="3"/>
      <c r="F516" s="5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7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  <c r="GZ516" s="3"/>
      <c r="HA516" s="3"/>
      <c r="HB516" s="3"/>
      <c r="HC516" s="3"/>
      <c r="HD516" s="3"/>
      <c r="HE516" s="3"/>
      <c r="HF516" s="3"/>
      <c r="HG516" s="3"/>
      <c r="HH516" s="3"/>
      <c r="HI516" s="3"/>
      <c r="HJ516" s="3"/>
      <c r="HK516" s="3"/>
      <c r="HL516" s="3"/>
      <c r="HM516" s="3"/>
      <c r="HN516" s="3"/>
      <c r="HO516" s="3"/>
      <c r="HP516" s="3"/>
      <c r="HQ516" s="3"/>
      <c r="HR516" s="3"/>
      <c r="HS516" s="3"/>
      <c r="HT516" s="3"/>
    </row>
    <row r="517">
      <c r="A517" s="14"/>
      <c r="B517" s="3"/>
      <c r="C517" s="3"/>
      <c r="D517" s="3"/>
      <c r="E517" s="3"/>
      <c r="F517" s="5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7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  <c r="GZ517" s="3"/>
      <c r="HA517" s="3"/>
      <c r="HB517" s="3"/>
      <c r="HC517" s="3"/>
      <c r="HD517" s="3"/>
      <c r="HE517" s="3"/>
      <c r="HF517" s="3"/>
      <c r="HG517" s="3"/>
      <c r="HH517" s="3"/>
      <c r="HI517" s="3"/>
      <c r="HJ517" s="3"/>
      <c r="HK517" s="3"/>
      <c r="HL517" s="3"/>
      <c r="HM517" s="3"/>
      <c r="HN517" s="3"/>
      <c r="HO517" s="3"/>
      <c r="HP517" s="3"/>
      <c r="HQ517" s="3"/>
      <c r="HR517" s="3"/>
      <c r="HS517" s="3"/>
      <c r="HT517" s="3"/>
    </row>
    <row r="518">
      <c r="A518" s="14"/>
      <c r="B518" s="3"/>
      <c r="C518" s="3"/>
      <c r="D518" s="3"/>
      <c r="E518" s="3"/>
      <c r="F518" s="5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7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  <c r="GZ518" s="3"/>
      <c r="HA518" s="3"/>
      <c r="HB518" s="3"/>
      <c r="HC518" s="3"/>
      <c r="HD518" s="3"/>
      <c r="HE518" s="3"/>
      <c r="HF518" s="3"/>
      <c r="HG518" s="3"/>
      <c r="HH518" s="3"/>
      <c r="HI518" s="3"/>
      <c r="HJ518" s="3"/>
      <c r="HK518" s="3"/>
      <c r="HL518" s="3"/>
      <c r="HM518" s="3"/>
      <c r="HN518" s="3"/>
      <c r="HO518" s="3"/>
      <c r="HP518" s="3"/>
      <c r="HQ518" s="3"/>
      <c r="HR518" s="3"/>
      <c r="HS518" s="3"/>
      <c r="HT518" s="3"/>
    </row>
    <row r="519">
      <c r="A519" s="14"/>
      <c r="B519" s="3"/>
      <c r="C519" s="3"/>
      <c r="D519" s="3"/>
      <c r="E519" s="3"/>
      <c r="F519" s="5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7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  <c r="GZ519" s="3"/>
      <c r="HA519" s="3"/>
      <c r="HB519" s="3"/>
      <c r="HC519" s="3"/>
      <c r="HD519" s="3"/>
      <c r="HE519" s="3"/>
      <c r="HF519" s="3"/>
      <c r="HG519" s="3"/>
      <c r="HH519" s="3"/>
      <c r="HI519" s="3"/>
      <c r="HJ519" s="3"/>
      <c r="HK519" s="3"/>
      <c r="HL519" s="3"/>
      <c r="HM519" s="3"/>
      <c r="HN519" s="3"/>
      <c r="HO519" s="3"/>
      <c r="HP519" s="3"/>
      <c r="HQ519" s="3"/>
      <c r="HR519" s="3"/>
      <c r="HS519" s="3"/>
      <c r="HT519" s="3"/>
    </row>
    <row r="520">
      <c r="A520" s="14"/>
      <c r="B520" s="3"/>
      <c r="C520" s="3"/>
      <c r="D520" s="3"/>
      <c r="E520" s="3"/>
      <c r="F520" s="5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7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  <c r="GZ520" s="3"/>
      <c r="HA520" s="3"/>
      <c r="HB520" s="3"/>
      <c r="HC520" s="3"/>
      <c r="HD520" s="3"/>
      <c r="HE520" s="3"/>
      <c r="HF520" s="3"/>
      <c r="HG520" s="3"/>
      <c r="HH520" s="3"/>
      <c r="HI520" s="3"/>
      <c r="HJ520" s="3"/>
      <c r="HK520" s="3"/>
      <c r="HL520" s="3"/>
      <c r="HM520" s="3"/>
      <c r="HN520" s="3"/>
      <c r="HO520" s="3"/>
      <c r="HP520" s="3"/>
      <c r="HQ520" s="3"/>
      <c r="HR520" s="3"/>
      <c r="HS520" s="3"/>
      <c r="HT520" s="3"/>
    </row>
    <row r="521">
      <c r="A521" s="14"/>
      <c r="B521" s="3"/>
      <c r="C521" s="3"/>
      <c r="D521" s="3"/>
      <c r="E521" s="3"/>
      <c r="F521" s="5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7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  <c r="GZ521" s="3"/>
      <c r="HA521" s="3"/>
      <c r="HB521" s="3"/>
      <c r="HC521" s="3"/>
      <c r="HD521" s="3"/>
      <c r="HE521" s="3"/>
      <c r="HF521" s="3"/>
      <c r="HG521" s="3"/>
      <c r="HH521" s="3"/>
      <c r="HI521" s="3"/>
      <c r="HJ521" s="3"/>
      <c r="HK521" s="3"/>
      <c r="HL521" s="3"/>
      <c r="HM521" s="3"/>
      <c r="HN521" s="3"/>
      <c r="HO521" s="3"/>
      <c r="HP521" s="3"/>
      <c r="HQ521" s="3"/>
      <c r="HR521" s="3"/>
      <c r="HS521" s="3"/>
      <c r="HT521" s="3"/>
    </row>
    <row r="522">
      <c r="A522" s="14"/>
      <c r="B522" s="3"/>
      <c r="C522" s="3"/>
      <c r="D522" s="3"/>
      <c r="E522" s="3"/>
      <c r="F522" s="5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7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  <c r="GZ522" s="3"/>
      <c r="HA522" s="3"/>
      <c r="HB522" s="3"/>
      <c r="HC522" s="3"/>
      <c r="HD522" s="3"/>
      <c r="HE522" s="3"/>
      <c r="HF522" s="3"/>
      <c r="HG522" s="3"/>
      <c r="HH522" s="3"/>
      <c r="HI522" s="3"/>
      <c r="HJ522" s="3"/>
      <c r="HK522" s="3"/>
      <c r="HL522" s="3"/>
      <c r="HM522" s="3"/>
      <c r="HN522" s="3"/>
      <c r="HO522" s="3"/>
      <c r="HP522" s="3"/>
      <c r="HQ522" s="3"/>
      <c r="HR522" s="3"/>
      <c r="HS522" s="3"/>
      <c r="HT522" s="3"/>
    </row>
    <row r="523">
      <c r="A523" s="14"/>
      <c r="B523" s="3"/>
      <c r="C523" s="3"/>
      <c r="D523" s="3"/>
      <c r="E523" s="3"/>
      <c r="F523" s="5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7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  <c r="GZ523" s="3"/>
      <c r="HA523" s="3"/>
      <c r="HB523" s="3"/>
      <c r="HC523" s="3"/>
      <c r="HD523" s="3"/>
      <c r="HE523" s="3"/>
      <c r="HF523" s="3"/>
      <c r="HG523" s="3"/>
      <c r="HH523" s="3"/>
      <c r="HI523" s="3"/>
      <c r="HJ523" s="3"/>
      <c r="HK523" s="3"/>
      <c r="HL523" s="3"/>
      <c r="HM523" s="3"/>
      <c r="HN523" s="3"/>
      <c r="HO523" s="3"/>
      <c r="HP523" s="3"/>
      <c r="HQ523" s="3"/>
      <c r="HR523" s="3"/>
      <c r="HS523" s="3"/>
      <c r="HT523" s="3"/>
    </row>
    <row r="524">
      <c r="A524" s="14"/>
      <c r="B524" s="3"/>
      <c r="C524" s="3"/>
      <c r="D524" s="3"/>
      <c r="E524" s="3"/>
      <c r="F524" s="5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7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I524" s="3"/>
      <c r="HJ524" s="3"/>
      <c r="HK524" s="3"/>
      <c r="HL524" s="3"/>
      <c r="HM524" s="3"/>
      <c r="HN524" s="3"/>
      <c r="HO524" s="3"/>
      <c r="HP524" s="3"/>
      <c r="HQ524" s="3"/>
      <c r="HR524" s="3"/>
      <c r="HS524" s="3"/>
      <c r="HT524" s="3"/>
    </row>
    <row r="525">
      <c r="A525" s="14"/>
      <c r="B525" s="3"/>
      <c r="C525" s="3"/>
      <c r="D525" s="3"/>
      <c r="E525" s="3"/>
      <c r="F525" s="5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7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  <c r="GZ525" s="3"/>
      <c r="HA525" s="3"/>
      <c r="HB525" s="3"/>
      <c r="HC525" s="3"/>
      <c r="HD525" s="3"/>
      <c r="HE525" s="3"/>
      <c r="HF525" s="3"/>
      <c r="HG525" s="3"/>
      <c r="HH525" s="3"/>
      <c r="HI525" s="3"/>
      <c r="HJ525" s="3"/>
      <c r="HK525" s="3"/>
      <c r="HL525" s="3"/>
      <c r="HM525" s="3"/>
      <c r="HN525" s="3"/>
      <c r="HO525" s="3"/>
      <c r="HP525" s="3"/>
      <c r="HQ525" s="3"/>
      <c r="HR525" s="3"/>
      <c r="HS525" s="3"/>
      <c r="HT525" s="3"/>
    </row>
    <row r="526">
      <c r="A526" s="14"/>
      <c r="B526" s="3"/>
      <c r="C526" s="3"/>
      <c r="D526" s="3"/>
      <c r="E526" s="3"/>
      <c r="F526" s="5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7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  <c r="GZ526" s="3"/>
      <c r="HA526" s="3"/>
      <c r="HB526" s="3"/>
      <c r="HC526" s="3"/>
      <c r="HD526" s="3"/>
      <c r="HE526" s="3"/>
      <c r="HF526" s="3"/>
      <c r="HG526" s="3"/>
      <c r="HH526" s="3"/>
      <c r="HI526" s="3"/>
      <c r="HJ526" s="3"/>
      <c r="HK526" s="3"/>
      <c r="HL526" s="3"/>
      <c r="HM526" s="3"/>
      <c r="HN526" s="3"/>
      <c r="HO526" s="3"/>
      <c r="HP526" s="3"/>
      <c r="HQ526" s="3"/>
      <c r="HR526" s="3"/>
      <c r="HS526" s="3"/>
      <c r="HT526" s="3"/>
    </row>
    <row r="527">
      <c r="A527" s="14"/>
      <c r="B527" s="3"/>
      <c r="C527" s="3"/>
      <c r="D527" s="3"/>
      <c r="E527" s="3"/>
      <c r="F527" s="5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7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  <c r="GZ527" s="3"/>
      <c r="HA527" s="3"/>
      <c r="HB527" s="3"/>
      <c r="HC527" s="3"/>
      <c r="HD527" s="3"/>
      <c r="HE527" s="3"/>
      <c r="HF527" s="3"/>
      <c r="HG527" s="3"/>
      <c r="HH527" s="3"/>
      <c r="HI527" s="3"/>
      <c r="HJ527" s="3"/>
      <c r="HK527" s="3"/>
      <c r="HL527" s="3"/>
      <c r="HM527" s="3"/>
      <c r="HN527" s="3"/>
      <c r="HO527" s="3"/>
      <c r="HP527" s="3"/>
      <c r="HQ527" s="3"/>
      <c r="HR527" s="3"/>
      <c r="HS527" s="3"/>
      <c r="HT527" s="3"/>
    </row>
    <row r="528">
      <c r="A528" s="14"/>
      <c r="B528" s="3"/>
      <c r="C528" s="3"/>
      <c r="D528" s="3"/>
      <c r="E528" s="3"/>
      <c r="F528" s="5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7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  <c r="GZ528" s="3"/>
      <c r="HA528" s="3"/>
      <c r="HB528" s="3"/>
      <c r="HC528" s="3"/>
      <c r="HD528" s="3"/>
      <c r="HE528" s="3"/>
      <c r="HF528" s="3"/>
      <c r="HG528" s="3"/>
      <c r="HH528" s="3"/>
      <c r="HI528" s="3"/>
      <c r="HJ528" s="3"/>
      <c r="HK528" s="3"/>
      <c r="HL528" s="3"/>
      <c r="HM528" s="3"/>
      <c r="HN528" s="3"/>
      <c r="HO528" s="3"/>
      <c r="HP528" s="3"/>
      <c r="HQ528" s="3"/>
      <c r="HR528" s="3"/>
      <c r="HS528" s="3"/>
      <c r="HT528" s="3"/>
    </row>
    <row r="529">
      <c r="A529" s="14"/>
      <c r="B529" s="3"/>
      <c r="C529" s="3"/>
      <c r="D529" s="3"/>
      <c r="E529" s="3"/>
      <c r="F529" s="5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7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  <c r="GZ529" s="3"/>
      <c r="HA529" s="3"/>
      <c r="HB529" s="3"/>
      <c r="HC529" s="3"/>
      <c r="HD529" s="3"/>
      <c r="HE529" s="3"/>
      <c r="HF529" s="3"/>
      <c r="HG529" s="3"/>
      <c r="HH529" s="3"/>
      <c r="HI529" s="3"/>
      <c r="HJ529" s="3"/>
      <c r="HK529" s="3"/>
      <c r="HL529" s="3"/>
      <c r="HM529" s="3"/>
      <c r="HN529" s="3"/>
      <c r="HO529" s="3"/>
      <c r="HP529" s="3"/>
      <c r="HQ529" s="3"/>
      <c r="HR529" s="3"/>
      <c r="HS529" s="3"/>
      <c r="HT529" s="3"/>
    </row>
    <row r="530">
      <c r="A530" s="14"/>
      <c r="B530" s="3"/>
      <c r="C530" s="3"/>
      <c r="D530" s="3"/>
      <c r="E530" s="3"/>
      <c r="F530" s="5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7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  <c r="GZ530" s="3"/>
      <c r="HA530" s="3"/>
      <c r="HB530" s="3"/>
      <c r="HC530" s="3"/>
      <c r="HD530" s="3"/>
      <c r="HE530" s="3"/>
      <c r="HF530" s="3"/>
      <c r="HG530" s="3"/>
      <c r="HH530" s="3"/>
      <c r="HI530" s="3"/>
      <c r="HJ530" s="3"/>
      <c r="HK530" s="3"/>
      <c r="HL530" s="3"/>
      <c r="HM530" s="3"/>
      <c r="HN530" s="3"/>
      <c r="HO530" s="3"/>
      <c r="HP530" s="3"/>
      <c r="HQ530" s="3"/>
      <c r="HR530" s="3"/>
      <c r="HS530" s="3"/>
      <c r="HT530" s="3"/>
    </row>
    <row r="531">
      <c r="A531" s="14"/>
      <c r="B531" s="3"/>
      <c r="C531" s="3"/>
      <c r="D531" s="3"/>
      <c r="E531" s="3"/>
      <c r="F531" s="5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7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  <c r="GZ531" s="3"/>
      <c r="HA531" s="3"/>
      <c r="HB531" s="3"/>
      <c r="HC531" s="3"/>
      <c r="HD531" s="3"/>
      <c r="HE531" s="3"/>
      <c r="HF531" s="3"/>
      <c r="HG531" s="3"/>
      <c r="HH531" s="3"/>
      <c r="HI531" s="3"/>
      <c r="HJ531" s="3"/>
      <c r="HK531" s="3"/>
      <c r="HL531" s="3"/>
      <c r="HM531" s="3"/>
      <c r="HN531" s="3"/>
      <c r="HO531" s="3"/>
      <c r="HP531" s="3"/>
      <c r="HQ531" s="3"/>
      <c r="HR531" s="3"/>
      <c r="HS531" s="3"/>
      <c r="HT531" s="3"/>
    </row>
    <row r="532">
      <c r="A532" s="14"/>
      <c r="B532" s="3"/>
      <c r="C532" s="3"/>
      <c r="D532" s="3"/>
      <c r="E532" s="3"/>
      <c r="F532" s="5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7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  <c r="GZ532" s="3"/>
      <c r="HA532" s="3"/>
      <c r="HB532" s="3"/>
      <c r="HC532" s="3"/>
      <c r="HD532" s="3"/>
      <c r="HE532" s="3"/>
      <c r="HF532" s="3"/>
      <c r="HG532" s="3"/>
      <c r="HH532" s="3"/>
      <c r="HI532" s="3"/>
      <c r="HJ532" s="3"/>
      <c r="HK532" s="3"/>
      <c r="HL532" s="3"/>
      <c r="HM532" s="3"/>
      <c r="HN532" s="3"/>
      <c r="HO532" s="3"/>
      <c r="HP532" s="3"/>
      <c r="HQ532" s="3"/>
      <c r="HR532" s="3"/>
      <c r="HS532" s="3"/>
      <c r="HT532" s="3"/>
    </row>
    <row r="533">
      <c r="A533" s="14"/>
      <c r="B533" s="3"/>
      <c r="C533" s="3"/>
      <c r="D533" s="3"/>
      <c r="E533" s="3"/>
      <c r="F533" s="5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7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  <c r="GZ533" s="3"/>
      <c r="HA533" s="3"/>
      <c r="HB533" s="3"/>
      <c r="HC533" s="3"/>
      <c r="HD533" s="3"/>
      <c r="HE533" s="3"/>
      <c r="HF533" s="3"/>
      <c r="HG533" s="3"/>
      <c r="HH533" s="3"/>
      <c r="HI533" s="3"/>
      <c r="HJ533" s="3"/>
      <c r="HK533" s="3"/>
      <c r="HL533" s="3"/>
      <c r="HM533" s="3"/>
      <c r="HN533" s="3"/>
      <c r="HO533" s="3"/>
      <c r="HP533" s="3"/>
      <c r="HQ533" s="3"/>
      <c r="HR533" s="3"/>
      <c r="HS533" s="3"/>
      <c r="HT533" s="3"/>
    </row>
    <row r="534">
      <c r="A534" s="14"/>
      <c r="B534" s="3"/>
      <c r="C534" s="3"/>
      <c r="D534" s="3"/>
      <c r="E534" s="3"/>
      <c r="F534" s="5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7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  <c r="GJ534" s="3"/>
      <c r="GK534" s="3"/>
      <c r="GL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  <c r="GZ534" s="3"/>
      <c r="HA534" s="3"/>
      <c r="HB534" s="3"/>
      <c r="HC534" s="3"/>
      <c r="HD534" s="3"/>
      <c r="HE534" s="3"/>
      <c r="HF534" s="3"/>
      <c r="HG534" s="3"/>
      <c r="HH534" s="3"/>
      <c r="HI534" s="3"/>
      <c r="HJ534" s="3"/>
      <c r="HK534" s="3"/>
      <c r="HL534" s="3"/>
      <c r="HM534" s="3"/>
      <c r="HN534" s="3"/>
      <c r="HO534" s="3"/>
      <c r="HP534" s="3"/>
      <c r="HQ534" s="3"/>
      <c r="HR534" s="3"/>
      <c r="HS534" s="3"/>
      <c r="HT534" s="3"/>
    </row>
    <row r="535">
      <c r="A535" s="14"/>
      <c r="B535" s="3"/>
      <c r="C535" s="3"/>
      <c r="D535" s="3"/>
      <c r="E535" s="3"/>
      <c r="F535" s="5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7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  <c r="GZ535" s="3"/>
      <c r="HA535" s="3"/>
      <c r="HB535" s="3"/>
      <c r="HC535" s="3"/>
      <c r="HD535" s="3"/>
      <c r="HE535" s="3"/>
      <c r="HF535" s="3"/>
      <c r="HG535" s="3"/>
      <c r="HH535" s="3"/>
      <c r="HI535" s="3"/>
      <c r="HJ535" s="3"/>
      <c r="HK535" s="3"/>
      <c r="HL535" s="3"/>
      <c r="HM535" s="3"/>
      <c r="HN535" s="3"/>
      <c r="HO535" s="3"/>
      <c r="HP535" s="3"/>
      <c r="HQ535" s="3"/>
      <c r="HR535" s="3"/>
      <c r="HS535" s="3"/>
      <c r="HT535" s="3"/>
    </row>
    <row r="536">
      <c r="A536" s="14"/>
      <c r="B536" s="3"/>
      <c r="C536" s="3"/>
      <c r="D536" s="3"/>
      <c r="E536" s="3"/>
      <c r="F536" s="5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7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  <c r="GZ536" s="3"/>
      <c r="HA536" s="3"/>
      <c r="HB536" s="3"/>
      <c r="HC536" s="3"/>
      <c r="HD536" s="3"/>
      <c r="HE536" s="3"/>
      <c r="HF536" s="3"/>
      <c r="HG536" s="3"/>
      <c r="HH536" s="3"/>
      <c r="HI536" s="3"/>
      <c r="HJ536" s="3"/>
      <c r="HK536" s="3"/>
      <c r="HL536" s="3"/>
      <c r="HM536" s="3"/>
      <c r="HN536" s="3"/>
      <c r="HO536" s="3"/>
      <c r="HP536" s="3"/>
      <c r="HQ536" s="3"/>
      <c r="HR536" s="3"/>
      <c r="HS536" s="3"/>
      <c r="HT536" s="3"/>
    </row>
    <row r="537">
      <c r="A537" s="14"/>
      <c r="B537" s="3"/>
      <c r="C537" s="3"/>
      <c r="D537" s="3"/>
      <c r="E537" s="3"/>
      <c r="F537" s="5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7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  <c r="GJ537" s="3"/>
      <c r="GK537" s="3"/>
      <c r="GL537" s="3"/>
      <c r="GM537" s="3"/>
      <c r="GN537" s="3"/>
      <c r="GO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  <c r="GZ537" s="3"/>
      <c r="HA537" s="3"/>
      <c r="HB537" s="3"/>
      <c r="HC537" s="3"/>
      <c r="HD537" s="3"/>
      <c r="HE537" s="3"/>
      <c r="HF537" s="3"/>
      <c r="HG537" s="3"/>
      <c r="HH537" s="3"/>
      <c r="HI537" s="3"/>
      <c r="HJ537" s="3"/>
      <c r="HK537" s="3"/>
      <c r="HL537" s="3"/>
      <c r="HM537" s="3"/>
      <c r="HN537" s="3"/>
      <c r="HO537" s="3"/>
      <c r="HP537" s="3"/>
      <c r="HQ537" s="3"/>
      <c r="HR537" s="3"/>
      <c r="HS537" s="3"/>
      <c r="HT537" s="3"/>
    </row>
    <row r="538">
      <c r="A538" s="14"/>
      <c r="B538" s="3"/>
      <c r="C538" s="3"/>
      <c r="D538" s="3"/>
      <c r="E538" s="3"/>
      <c r="F538" s="5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7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  <c r="GZ538" s="3"/>
      <c r="HA538" s="3"/>
      <c r="HB538" s="3"/>
      <c r="HC538" s="3"/>
      <c r="HD538" s="3"/>
      <c r="HE538" s="3"/>
      <c r="HF538" s="3"/>
      <c r="HG538" s="3"/>
      <c r="HH538" s="3"/>
      <c r="HI538" s="3"/>
      <c r="HJ538" s="3"/>
      <c r="HK538" s="3"/>
      <c r="HL538" s="3"/>
      <c r="HM538" s="3"/>
      <c r="HN538" s="3"/>
      <c r="HO538" s="3"/>
      <c r="HP538" s="3"/>
      <c r="HQ538" s="3"/>
      <c r="HR538" s="3"/>
      <c r="HS538" s="3"/>
      <c r="HT538" s="3"/>
    </row>
    <row r="539">
      <c r="A539" s="14"/>
      <c r="B539" s="3"/>
      <c r="C539" s="3"/>
      <c r="D539" s="3"/>
      <c r="E539" s="3"/>
      <c r="F539" s="5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7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  <c r="GJ539" s="3"/>
      <c r="GK539" s="3"/>
      <c r="GL539" s="3"/>
      <c r="GM539" s="3"/>
      <c r="GN539" s="3"/>
      <c r="GO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  <c r="GZ539" s="3"/>
      <c r="HA539" s="3"/>
      <c r="HB539" s="3"/>
      <c r="HC539" s="3"/>
      <c r="HD539" s="3"/>
      <c r="HE539" s="3"/>
      <c r="HF539" s="3"/>
      <c r="HG539" s="3"/>
      <c r="HH539" s="3"/>
      <c r="HI539" s="3"/>
      <c r="HJ539" s="3"/>
      <c r="HK539" s="3"/>
      <c r="HL539" s="3"/>
      <c r="HM539" s="3"/>
      <c r="HN539" s="3"/>
      <c r="HO539" s="3"/>
      <c r="HP539" s="3"/>
      <c r="HQ539" s="3"/>
      <c r="HR539" s="3"/>
      <c r="HS539" s="3"/>
      <c r="HT539" s="3"/>
    </row>
    <row r="540">
      <c r="A540" s="14"/>
      <c r="B540" s="3"/>
      <c r="C540" s="3"/>
      <c r="D540" s="3"/>
      <c r="E540" s="3"/>
      <c r="F540" s="5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7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/>
      <c r="GJ540" s="3"/>
      <c r="GK540" s="3"/>
      <c r="GL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  <c r="GZ540" s="3"/>
      <c r="HA540" s="3"/>
      <c r="HB540" s="3"/>
      <c r="HC540" s="3"/>
      <c r="HD540" s="3"/>
      <c r="HE540" s="3"/>
      <c r="HF540" s="3"/>
      <c r="HG540" s="3"/>
      <c r="HH540" s="3"/>
      <c r="HI540" s="3"/>
      <c r="HJ540" s="3"/>
      <c r="HK540" s="3"/>
      <c r="HL540" s="3"/>
      <c r="HM540" s="3"/>
      <c r="HN540" s="3"/>
      <c r="HO540" s="3"/>
      <c r="HP540" s="3"/>
      <c r="HQ540" s="3"/>
      <c r="HR540" s="3"/>
      <c r="HS540" s="3"/>
      <c r="HT540" s="3"/>
    </row>
    <row r="541">
      <c r="A541" s="14"/>
      <c r="B541" s="3"/>
      <c r="C541" s="3"/>
      <c r="D541" s="3"/>
      <c r="E541" s="3"/>
      <c r="F541" s="5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7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  <c r="GH541" s="3"/>
      <c r="GI541" s="3"/>
      <c r="GJ541" s="3"/>
      <c r="GK541" s="3"/>
      <c r="GL541" s="3"/>
      <c r="GM541" s="3"/>
      <c r="GN541" s="3"/>
      <c r="GO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  <c r="GZ541" s="3"/>
      <c r="HA541" s="3"/>
      <c r="HB541" s="3"/>
      <c r="HC541" s="3"/>
      <c r="HD541" s="3"/>
      <c r="HE541" s="3"/>
      <c r="HF541" s="3"/>
      <c r="HG541" s="3"/>
      <c r="HH541" s="3"/>
      <c r="HI541" s="3"/>
      <c r="HJ541" s="3"/>
      <c r="HK541" s="3"/>
      <c r="HL541" s="3"/>
      <c r="HM541" s="3"/>
      <c r="HN541" s="3"/>
      <c r="HO541" s="3"/>
      <c r="HP541" s="3"/>
      <c r="HQ541" s="3"/>
      <c r="HR541" s="3"/>
      <c r="HS541" s="3"/>
      <c r="HT541" s="3"/>
    </row>
    <row r="542">
      <c r="A542" s="14"/>
      <c r="B542" s="3"/>
      <c r="C542" s="3"/>
      <c r="D542" s="3"/>
      <c r="E542" s="3"/>
      <c r="F542" s="5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7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  <c r="GH542" s="3"/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  <c r="GZ542" s="3"/>
      <c r="HA542" s="3"/>
      <c r="HB542" s="3"/>
      <c r="HC542" s="3"/>
      <c r="HD542" s="3"/>
      <c r="HE542" s="3"/>
      <c r="HF542" s="3"/>
      <c r="HG542" s="3"/>
      <c r="HH542" s="3"/>
      <c r="HI542" s="3"/>
      <c r="HJ542" s="3"/>
      <c r="HK542" s="3"/>
      <c r="HL542" s="3"/>
      <c r="HM542" s="3"/>
      <c r="HN542" s="3"/>
      <c r="HO542" s="3"/>
      <c r="HP542" s="3"/>
      <c r="HQ542" s="3"/>
      <c r="HR542" s="3"/>
      <c r="HS542" s="3"/>
      <c r="HT542" s="3"/>
    </row>
    <row r="543">
      <c r="A543" s="14"/>
      <c r="B543" s="3"/>
      <c r="C543" s="3"/>
      <c r="D543" s="3"/>
      <c r="E543" s="3"/>
      <c r="F543" s="5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7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  <c r="GJ543" s="3"/>
      <c r="GK543" s="3"/>
      <c r="GL543" s="3"/>
      <c r="GM543" s="3"/>
      <c r="GN543" s="3"/>
      <c r="GO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  <c r="GZ543" s="3"/>
      <c r="HA543" s="3"/>
      <c r="HB543" s="3"/>
      <c r="HC543" s="3"/>
      <c r="HD543" s="3"/>
      <c r="HE543" s="3"/>
      <c r="HF543" s="3"/>
      <c r="HG543" s="3"/>
      <c r="HH543" s="3"/>
      <c r="HI543" s="3"/>
      <c r="HJ543" s="3"/>
      <c r="HK543" s="3"/>
      <c r="HL543" s="3"/>
      <c r="HM543" s="3"/>
      <c r="HN543" s="3"/>
      <c r="HO543" s="3"/>
      <c r="HP543" s="3"/>
      <c r="HQ543" s="3"/>
      <c r="HR543" s="3"/>
      <c r="HS543" s="3"/>
      <c r="HT543" s="3"/>
    </row>
    <row r="544">
      <c r="A544" s="14"/>
      <c r="B544" s="3"/>
      <c r="C544" s="3"/>
      <c r="D544" s="3"/>
      <c r="E544" s="3"/>
      <c r="F544" s="5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7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  <c r="GZ544" s="3"/>
      <c r="HA544" s="3"/>
      <c r="HB544" s="3"/>
      <c r="HC544" s="3"/>
      <c r="HD544" s="3"/>
      <c r="HE544" s="3"/>
      <c r="HF544" s="3"/>
      <c r="HG544" s="3"/>
      <c r="HH544" s="3"/>
      <c r="HI544" s="3"/>
      <c r="HJ544" s="3"/>
      <c r="HK544" s="3"/>
      <c r="HL544" s="3"/>
      <c r="HM544" s="3"/>
      <c r="HN544" s="3"/>
      <c r="HO544" s="3"/>
      <c r="HP544" s="3"/>
      <c r="HQ544" s="3"/>
      <c r="HR544" s="3"/>
      <c r="HS544" s="3"/>
      <c r="HT544" s="3"/>
    </row>
    <row r="545">
      <c r="A545" s="14"/>
      <c r="B545" s="3"/>
      <c r="C545" s="3"/>
      <c r="D545" s="3"/>
      <c r="E545" s="3"/>
      <c r="F545" s="5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7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  <c r="GH545" s="3"/>
      <c r="GI545" s="3"/>
      <c r="GJ545" s="3"/>
      <c r="GK545" s="3"/>
      <c r="GL545" s="3"/>
      <c r="GM545" s="3"/>
      <c r="GN545" s="3"/>
      <c r="GO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  <c r="GZ545" s="3"/>
      <c r="HA545" s="3"/>
      <c r="HB545" s="3"/>
      <c r="HC545" s="3"/>
      <c r="HD545" s="3"/>
      <c r="HE545" s="3"/>
      <c r="HF545" s="3"/>
      <c r="HG545" s="3"/>
      <c r="HH545" s="3"/>
      <c r="HI545" s="3"/>
      <c r="HJ545" s="3"/>
      <c r="HK545" s="3"/>
      <c r="HL545" s="3"/>
      <c r="HM545" s="3"/>
      <c r="HN545" s="3"/>
      <c r="HO545" s="3"/>
      <c r="HP545" s="3"/>
      <c r="HQ545" s="3"/>
      <c r="HR545" s="3"/>
      <c r="HS545" s="3"/>
      <c r="HT545" s="3"/>
    </row>
    <row r="546">
      <c r="A546" s="14"/>
      <c r="B546" s="3"/>
      <c r="C546" s="3"/>
      <c r="D546" s="3"/>
      <c r="E546" s="3"/>
      <c r="F546" s="5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7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  <c r="GZ546" s="3"/>
      <c r="HA546" s="3"/>
      <c r="HB546" s="3"/>
      <c r="HC546" s="3"/>
      <c r="HD546" s="3"/>
      <c r="HE546" s="3"/>
      <c r="HF546" s="3"/>
      <c r="HG546" s="3"/>
      <c r="HH546" s="3"/>
      <c r="HI546" s="3"/>
      <c r="HJ546" s="3"/>
      <c r="HK546" s="3"/>
      <c r="HL546" s="3"/>
      <c r="HM546" s="3"/>
      <c r="HN546" s="3"/>
      <c r="HO546" s="3"/>
      <c r="HP546" s="3"/>
      <c r="HQ546" s="3"/>
      <c r="HR546" s="3"/>
      <c r="HS546" s="3"/>
      <c r="HT546" s="3"/>
    </row>
    <row r="547">
      <c r="A547" s="14"/>
      <c r="B547" s="3"/>
      <c r="C547" s="3"/>
      <c r="D547" s="3"/>
      <c r="E547" s="3"/>
      <c r="F547" s="5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7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  <c r="GO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  <c r="GZ547" s="3"/>
      <c r="HA547" s="3"/>
      <c r="HB547" s="3"/>
      <c r="HC547" s="3"/>
      <c r="HD547" s="3"/>
      <c r="HE547" s="3"/>
      <c r="HF547" s="3"/>
      <c r="HG547" s="3"/>
      <c r="HH547" s="3"/>
      <c r="HI547" s="3"/>
      <c r="HJ547" s="3"/>
      <c r="HK547" s="3"/>
      <c r="HL547" s="3"/>
      <c r="HM547" s="3"/>
      <c r="HN547" s="3"/>
      <c r="HO547" s="3"/>
      <c r="HP547" s="3"/>
      <c r="HQ547" s="3"/>
      <c r="HR547" s="3"/>
      <c r="HS547" s="3"/>
      <c r="HT547" s="3"/>
    </row>
    <row r="548">
      <c r="A548" s="14"/>
      <c r="B548" s="3"/>
      <c r="C548" s="3"/>
      <c r="D548" s="3"/>
      <c r="E548" s="3"/>
      <c r="F548" s="5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7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  <c r="GZ548" s="3"/>
      <c r="HA548" s="3"/>
      <c r="HB548" s="3"/>
      <c r="HC548" s="3"/>
      <c r="HD548" s="3"/>
      <c r="HE548" s="3"/>
      <c r="HF548" s="3"/>
      <c r="HG548" s="3"/>
      <c r="HH548" s="3"/>
      <c r="HI548" s="3"/>
      <c r="HJ548" s="3"/>
      <c r="HK548" s="3"/>
      <c r="HL548" s="3"/>
      <c r="HM548" s="3"/>
      <c r="HN548" s="3"/>
      <c r="HO548" s="3"/>
      <c r="HP548" s="3"/>
      <c r="HQ548" s="3"/>
      <c r="HR548" s="3"/>
      <c r="HS548" s="3"/>
      <c r="HT548" s="3"/>
    </row>
    <row r="549">
      <c r="A549" s="14"/>
      <c r="B549" s="3"/>
      <c r="C549" s="3"/>
      <c r="D549" s="3"/>
      <c r="E549" s="3"/>
      <c r="F549" s="5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7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  <c r="GO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  <c r="GZ549" s="3"/>
      <c r="HA549" s="3"/>
      <c r="HB549" s="3"/>
      <c r="HC549" s="3"/>
      <c r="HD549" s="3"/>
      <c r="HE549" s="3"/>
      <c r="HF549" s="3"/>
      <c r="HG549" s="3"/>
      <c r="HH549" s="3"/>
      <c r="HI549" s="3"/>
      <c r="HJ549" s="3"/>
      <c r="HK549" s="3"/>
      <c r="HL549" s="3"/>
      <c r="HM549" s="3"/>
      <c r="HN549" s="3"/>
      <c r="HO549" s="3"/>
      <c r="HP549" s="3"/>
      <c r="HQ549" s="3"/>
      <c r="HR549" s="3"/>
      <c r="HS549" s="3"/>
      <c r="HT549" s="3"/>
    </row>
    <row r="550">
      <c r="A550" s="14"/>
      <c r="B550" s="3"/>
      <c r="C550" s="3"/>
      <c r="D550" s="3"/>
      <c r="E550" s="3"/>
      <c r="F550" s="5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7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  <c r="GZ550" s="3"/>
      <c r="HA550" s="3"/>
      <c r="HB550" s="3"/>
      <c r="HC550" s="3"/>
      <c r="HD550" s="3"/>
      <c r="HE550" s="3"/>
      <c r="HF550" s="3"/>
      <c r="HG550" s="3"/>
      <c r="HH550" s="3"/>
      <c r="HI550" s="3"/>
      <c r="HJ550" s="3"/>
      <c r="HK550" s="3"/>
      <c r="HL550" s="3"/>
      <c r="HM550" s="3"/>
      <c r="HN550" s="3"/>
      <c r="HO550" s="3"/>
      <c r="HP550" s="3"/>
      <c r="HQ550" s="3"/>
      <c r="HR550" s="3"/>
      <c r="HS550" s="3"/>
      <c r="HT550" s="3"/>
    </row>
    <row r="551">
      <c r="A551" s="14"/>
      <c r="B551" s="3"/>
      <c r="C551" s="3"/>
      <c r="D551" s="3"/>
      <c r="E551" s="3"/>
      <c r="F551" s="5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7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  <c r="GO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  <c r="GZ551" s="3"/>
      <c r="HA551" s="3"/>
      <c r="HB551" s="3"/>
      <c r="HC551" s="3"/>
      <c r="HD551" s="3"/>
      <c r="HE551" s="3"/>
      <c r="HF551" s="3"/>
      <c r="HG551" s="3"/>
      <c r="HH551" s="3"/>
      <c r="HI551" s="3"/>
      <c r="HJ551" s="3"/>
      <c r="HK551" s="3"/>
      <c r="HL551" s="3"/>
      <c r="HM551" s="3"/>
      <c r="HN551" s="3"/>
      <c r="HO551" s="3"/>
      <c r="HP551" s="3"/>
      <c r="HQ551" s="3"/>
      <c r="HR551" s="3"/>
      <c r="HS551" s="3"/>
      <c r="HT551" s="3"/>
    </row>
    <row r="552">
      <c r="A552" s="14"/>
      <c r="B552" s="3"/>
      <c r="C552" s="3"/>
      <c r="D552" s="3"/>
      <c r="E552" s="3"/>
      <c r="F552" s="5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7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  <c r="GZ552" s="3"/>
      <c r="HA552" s="3"/>
      <c r="HB552" s="3"/>
      <c r="HC552" s="3"/>
      <c r="HD552" s="3"/>
      <c r="HE552" s="3"/>
      <c r="HF552" s="3"/>
      <c r="HG552" s="3"/>
      <c r="HH552" s="3"/>
      <c r="HI552" s="3"/>
      <c r="HJ552" s="3"/>
      <c r="HK552" s="3"/>
      <c r="HL552" s="3"/>
      <c r="HM552" s="3"/>
      <c r="HN552" s="3"/>
      <c r="HO552" s="3"/>
      <c r="HP552" s="3"/>
      <c r="HQ552" s="3"/>
      <c r="HR552" s="3"/>
      <c r="HS552" s="3"/>
      <c r="HT552" s="3"/>
    </row>
    <row r="553">
      <c r="A553" s="14"/>
      <c r="B553" s="3"/>
      <c r="C553" s="3"/>
      <c r="D553" s="3"/>
      <c r="E553" s="3"/>
      <c r="F553" s="5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7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  <c r="GJ553" s="3"/>
      <c r="GK553" s="3"/>
      <c r="GL553" s="3"/>
      <c r="GM553" s="3"/>
      <c r="GN553" s="3"/>
      <c r="GO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  <c r="GZ553" s="3"/>
      <c r="HA553" s="3"/>
      <c r="HB553" s="3"/>
      <c r="HC553" s="3"/>
      <c r="HD553" s="3"/>
      <c r="HE553" s="3"/>
      <c r="HF553" s="3"/>
      <c r="HG553" s="3"/>
      <c r="HH553" s="3"/>
      <c r="HI553" s="3"/>
      <c r="HJ553" s="3"/>
      <c r="HK553" s="3"/>
      <c r="HL553" s="3"/>
      <c r="HM553" s="3"/>
      <c r="HN553" s="3"/>
      <c r="HO553" s="3"/>
      <c r="HP553" s="3"/>
      <c r="HQ553" s="3"/>
      <c r="HR553" s="3"/>
      <c r="HS553" s="3"/>
      <c r="HT553" s="3"/>
    </row>
    <row r="554">
      <c r="A554" s="14"/>
      <c r="B554" s="3"/>
      <c r="C554" s="3"/>
      <c r="D554" s="3"/>
      <c r="E554" s="3"/>
      <c r="F554" s="5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7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  <c r="GJ554" s="3"/>
      <c r="GK554" s="3"/>
      <c r="GL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  <c r="GZ554" s="3"/>
      <c r="HA554" s="3"/>
      <c r="HB554" s="3"/>
      <c r="HC554" s="3"/>
      <c r="HD554" s="3"/>
      <c r="HE554" s="3"/>
      <c r="HF554" s="3"/>
      <c r="HG554" s="3"/>
      <c r="HH554" s="3"/>
      <c r="HI554" s="3"/>
      <c r="HJ554" s="3"/>
      <c r="HK554" s="3"/>
      <c r="HL554" s="3"/>
      <c r="HM554" s="3"/>
      <c r="HN554" s="3"/>
      <c r="HO554" s="3"/>
      <c r="HP554" s="3"/>
      <c r="HQ554" s="3"/>
      <c r="HR554" s="3"/>
      <c r="HS554" s="3"/>
      <c r="HT554" s="3"/>
    </row>
    <row r="555">
      <c r="A555" s="14"/>
      <c r="B555" s="3"/>
      <c r="C555" s="3"/>
      <c r="D555" s="3"/>
      <c r="E555" s="3"/>
      <c r="F555" s="5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7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  <c r="GZ555" s="3"/>
      <c r="HA555" s="3"/>
      <c r="HB555" s="3"/>
      <c r="HC555" s="3"/>
      <c r="HD555" s="3"/>
      <c r="HE555" s="3"/>
      <c r="HF555" s="3"/>
      <c r="HG555" s="3"/>
      <c r="HH555" s="3"/>
      <c r="HI555" s="3"/>
      <c r="HJ555" s="3"/>
      <c r="HK555" s="3"/>
      <c r="HL555" s="3"/>
      <c r="HM555" s="3"/>
      <c r="HN555" s="3"/>
      <c r="HO555" s="3"/>
      <c r="HP555" s="3"/>
      <c r="HQ555" s="3"/>
      <c r="HR555" s="3"/>
      <c r="HS555" s="3"/>
      <c r="HT555" s="3"/>
    </row>
    <row r="556">
      <c r="A556" s="14"/>
      <c r="B556" s="3"/>
      <c r="C556" s="3"/>
      <c r="D556" s="3"/>
      <c r="E556" s="3"/>
      <c r="F556" s="5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7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  <c r="GZ556" s="3"/>
      <c r="HA556" s="3"/>
      <c r="HB556" s="3"/>
      <c r="HC556" s="3"/>
      <c r="HD556" s="3"/>
      <c r="HE556" s="3"/>
      <c r="HF556" s="3"/>
      <c r="HG556" s="3"/>
      <c r="HH556" s="3"/>
      <c r="HI556" s="3"/>
      <c r="HJ556" s="3"/>
      <c r="HK556" s="3"/>
      <c r="HL556" s="3"/>
      <c r="HM556" s="3"/>
      <c r="HN556" s="3"/>
      <c r="HO556" s="3"/>
      <c r="HP556" s="3"/>
      <c r="HQ556" s="3"/>
      <c r="HR556" s="3"/>
      <c r="HS556" s="3"/>
      <c r="HT556" s="3"/>
    </row>
    <row r="557">
      <c r="A557" s="14"/>
      <c r="B557" s="3"/>
      <c r="C557" s="3"/>
      <c r="D557" s="3"/>
      <c r="E557" s="3"/>
      <c r="F557" s="5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7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  <c r="GH557" s="3"/>
      <c r="GI557" s="3"/>
      <c r="GJ557" s="3"/>
      <c r="GK557" s="3"/>
      <c r="GL557" s="3"/>
      <c r="GM557" s="3"/>
      <c r="GN557" s="3"/>
      <c r="GO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  <c r="GZ557" s="3"/>
      <c r="HA557" s="3"/>
      <c r="HB557" s="3"/>
      <c r="HC557" s="3"/>
      <c r="HD557" s="3"/>
      <c r="HE557" s="3"/>
      <c r="HF557" s="3"/>
      <c r="HG557" s="3"/>
      <c r="HH557" s="3"/>
      <c r="HI557" s="3"/>
      <c r="HJ557" s="3"/>
      <c r="HK557" s="3"/>
      <c r="HL557" s="3"/>
      <c r="HM557" s="3"/>
      <c r="HN557" s="3"/>
      <c r="HO557" s="3"/>
      <c r="HP557" s="3"/>
      <c r="HQ557" s="3"/>
      <c r="HR557" s="3"/>
      <c r="HS557" s="3"/>
      <c r="HT557" s="3"/>
    </row>
    <row r="558">
      <c r="A558" s="14"/>
      <c r="B558" s="3"/>
      <c r="C558" s="3"/>
      <c r="D558" s="3"/>
      <c r="E558" s="3"/>
      <c r="F558" s="5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7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/>
      <c r="GJ558" s="3"/>
      <c r="GK558" s="3"/>
      <c r="GL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  <c r="GZ558" s="3"/>
      <c r="HA558" s="3"/>
      <c r="HB558" s="3"/>
      <c r="HC558" s="3"/>
      <c r="HD558" s="3"/>
      <c r="HE558" s="3"/>
      <c r="HF558" s="3"/>
      <c r="HG558" s="3"/>
      <c r="HH558" s="3"/>
      <c r="HI558" s="3"/>
      <c r="HJ558" s="3"/>
      <c r="HK558" s="3"/>
      <c r="HL558" s="3"/>
      <c r="HM558" s="3"/>
      <c r="HN558" s="3"/>
      <c r="HO558" s="3"/>
      <c r="HP558" s="3"/>
      <c r="HQ558" s="3"/>
      <c r="HR558" s="3"/>
      <c r="HS558" s="3"/>
      <c r="HT558" s="3"/>
    </row>
    <row r="559">
      <c r="A559" s="14"/>
      <c r="B559" s="3"/>
      <c r="C559" s="3"/>
      <c r="D559" s="3"/>
      <c r="E559" s="3"/>
      <c r="F559" s="5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7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  <c r="GJ559" s="3"/>
      <c r="GK559" s="3"/>
      <c r="GL559" s="3"/>
      <c r="GM559" s="3"/>
      <c r="GN559" s="3"/>
      <c r="GO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  <c r="GZ559" s="3"/>
      <c r="HA559" s="3"/>
      <c r="HB559" s="3"/>
      <c r="HC559" s="3"/>
      <c r="HD559" s="3"/>
      <c r="HE559" s="3"/>
      <c r="HF559" s="3"/>
      <c r="HG559" s="3"/>
      <c r="HH559" s="3"/>
      <c r="HI559" s="3"/>
      <c r="HJ559" s="3"/>
      <c r="HK559" s="3"/>
      <c r="HL559" s="3"/>
      <c r="HM559" s="3"/>
      <c r="HN559" s="3"/>
      <c r="HO559" s="3"/>
      <c r="HP559" s="3"/>
      <c r="HQ559" s="3"/>
      <c r="HR559" s="3"/>
      <c r="HS559" s="3"/>
      <c r="HT559" s="3"/>
    </row>
    <row r="560">
      <c r="A560" s="14"/>
      <c r="B560" s="3"/>
      <c r="C560" s="3"/>
      <c r="D560" s="3"/>
      <c r="E560" s="3"/>
      <c r="F560" s="5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7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3"/>
      <c r="HD560" s="3"/>
      <c r="HE560" s="3"/>
      <c r="HF560" s="3"/>
      <c r="HG560" s="3"/>
      <c r="HH560" s="3"/>
      <c r="HI560" s="3"/>
      <c r="HJ560" s="3"/>
      <c r="HK560" s="3"/>
      <c r="HL560" s="3"/>
      <c r="HM560" s="3"/>
      <c r="HN560" s="3"/>
      <c r="HO560" s="3"/>
      <c r="HP560" s="3"/>
      <c r="HQ560" s="3"/>
      <c r="HR560" s="3"/>
      <c r="HS560" s="3"/>
      <c r="HT560" s="3"/>
    </row>
    <row r="561">
      <c r="A561" s="14"/>
      <c r="B561" s="3"/>
      <c r="C561" s="3"/>
      <c r="D561" s="3"/>
      <c r="E561" s="3"/>
      <c r="F561" s="5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7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  <c r="GJ561" s="3"/>
      <c r="GK561" s="3"/>
      <c r="GL561" s="3"/>
      <c r="GM561" s="3"/>
      <c r="GN561" s="3"/>
      <c r="GO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  <c r="GZ561" s="3"/>
      <c r="HA561" s="3"/>
      <c r="HB561" s="3"/>
      <c r="HC561" s="3"/>
      <c r="HD561" s="3"/>
      <c r="HE561" s="3"/>
      <c r="HF561" s="3"/>
      <c r="HG561" s="3"/>
      <c r="HH561" s="3"/>
      <c r="HI561" s="3"/>
      <c r="HJ561" s="3"/>
      <c r="HK561" s="3"/>
      <c r="HL561" s="3"/>
      <c r="HM561" s="3"/>
      <c r="HN561" s="3"/>
      <c r="HO561" s="3"/>
      <c r="HP561" s="3"/>
      <c r="HQ561" s="3"/>
      <c r="HR561" s="3"/>
      <c r="HS561" s="3"/>
      <c r="HT561" s="3"/>
    </row>
    <row r="562">
      <c r="A562" s="14"/>
      <c r="B562" s="3"/>
      <c r="C562" s="3"/>
      <c r="D562" s="3"/>
      <c r="E562" s="3"/>
      <c r="F562" s="5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7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/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  <c r="GZ562" s="3"/>
      <c r="HA562" s="3"/>
      <c r="HB562" s="3"/>
      <c r="HC562" s="3"/>
      <c r="HD562" s="3"/>
      <c r="HE562" s="3"/>
      <c r="HF562" s="3"/>
      <c r="HG562" s="3"/>
      <c r="HH562" s="3"/>
      <c r="HI562" s="3"/>
      <c r="HJ562" s="3"/>
      <c r="HK562" s="3"/>
      <c r="HL562" s="3"/>
      <c r="HM562" s="3"/>
      <c r="HN562" s="3"/>
      <c r="HO562" s="3"/>
      <c r="HP562" s="3"/>
      <c r="HQ562" s="3"/>
      <c r="HR562" s="3"/>
      <c r="HS562" s="3"/>
      <c r="HT562" s="3"/>
    </row>
    <row r="563">
      <c r="A563" s="14"/>
      <c r="B563" s="3"/>
      <c r="C563" s="3"/>
      <c r="D563" s="3"/>
      <c r="E563" s="3"/>
      <c r="F563" s="5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7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  <c r="GH563" s="3"/>
      <c r="GI563" s="3"/>
      <c r="GJ563" s="3"/>
      <c r="GK563" s="3"/>
      <c r="GL563" s="3"/>
      <c r="GM563" s="3"/>
      <c r="GN563" s="3"/>
      <c r="GO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  <c r="GZ563" s="3"/>
      <c r="HA563" s="3"/>
      <c r="HB563" s="3"/>
      <c r="HC563" s="3"/>
      <c r="HD563" s="3"/>
      <c r="HE563" s="3"/>
      <c r="HF563" s="3"/>
      <c r="HG563" s="3"/>
      <c r="HH563" s="3"/>
      <c r="HI563" s="3"/>
      <c r="HJ563" s="3"/>
      <c r="HK563" s="3"/>
      <c r="HL563" s="3"/>
      <c r="HM563" s="3"/>
      <c r="HN563" s="3"/>
      <c r="HO563" s="3"/>
      <c r="HP563" s="3"/>
      <c r="HQ563" s="3"/>
      <c r="HR563" s="3"/>
      <c r="HS563" s="3"/>
      <c r="HT563" s="3"/>
    </row>
    <row r="564">
      <c r="A564" s="14"/>
      <c r="B564" s="3"/>
      <c r="C564" s="3"/>
      <c r="D564" s="3"/>
      <c r="E564" s="3"/>
      <c r="F564" s="5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7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  <c r="GZ564" s="3"/>
      <c r="HA564" s="3"/>
      <c r="HB564" s="3"/>
      <c r="HC564" s="3"/>
      <c r="HD564" s="3"/>
      <c r="HE564" s="3"/>
      <c r="HF564" s="3"/>
      <c r="HG564" s="3"/>
      <c r="HH564" s="3"/>
      <c r="HI564" s="3"/>
      <c r="HJ564" s="3"/>
      <c r="HK564" s="3"/>
      <c r="HL564" s="3"/>
      <c r="HM564" s="3"/>
      <c r="HN564" s="3"/>
      <c r="HO564" s="3"/>
      <c r="HP564" s="3"/>
      <c r="HQ564" s="3"/>
      <c r="HR564" s="3"/>
      <c r="HS564" s="3"/>
      <c r="HT564" s="3"/>
    </row>
    <row r="565">
      <c r="A565" s="14"/>
      <c r="B565" s="3"/>
      <c r="C565" s="3"/>
      <c r="D565" s="3"/>
      <c r="E565" s="3"/>
      <c r="F565" s="5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7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/>
      <c r="GG565" s="3"/>
      <c r="GH565" s="3"/>
      <c r="GI565" s="3"/>
      <c r="GJ565" s="3"/>
      <c r="GK565" s="3"/>
      <c r="GL565" s="3"/>
      <c r="GM565" s="3"/>
      <c r="GN565" s="3"/>
      <c r="GO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  <c r="GZ565" s="3"/>
      <c r="HA565" s="3"/>
      <c r="HB565" s="3"/>
      <c r="HC565" s="3"/>
      <c r="HD565" s="3"/>
      <c r="HE565" s="3"/>
      <c r="HF565" s="3"/>
      <c r="HG565" s="3"/>
      <c r="HH565" s="3"/>
      <c r="HI565" s="3"/>
      <c r="HJ565" s="3"/>
      <c r="HK565" s="3"/>
      <c r="HL565" s="3"/>
      <c r="HM565" s="3"/>
      <c r="HN565" s="3"/>
      <c r="HO565" s="3"/>
      <c r="HP565" s="3"/>
      <c r="HQ565" s="3"/>
      <c r="HR565" s="3"/>
      <c r="HS565" s="3"/>
      <c r="HT565" s="3"/>
    </row>
    <row r="566">
      <c r="A566" s="14"/>
      <c r="B566" s="3"/>
      <c r="C566" s="3"/>
      <c r="D566" s="3"/>
      <c r="E566" s="3"/>
      <c r="F566" s="5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7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  <c r="GJ566" s="3"/>
      <c r="GK566" s="3"/>
      <c r="GL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  <c r="GZ566" s="3"/>
      <c r="HA566" s="3"/>
      <c r="HB566" s="3"/>
      <c r="HC566" s="3"/>
      <c r="HD566" s="3"/>
      <c r="HE566" s="3"/>
      <c r="HF566" s="3"/>
      <c r="HG566" s="3"/>
      <c r="HH566" s="3"/>
      <c r="HI566" s="3"/>
      <c r="HJ566" s="3"/>
      <c r="HK566" s="3"/>
      <c r="HL566" s="3"/>
      <c r="HM566" s="3"/>
      <c r="HN566" s="3"/>
      <c r="HO566" s="3"/>
      <c r="HP566" s="3"/>
      <c r="HQ566" s="3"/>
      <c r="HR566" s="3"/>
      <c r="HS566" s="3"/>
      <c r="HT566" s="3"/>
    </row>
    <row r="567">
      <c r="A567" s="14"/>
      <c r="B567" s="3"/>
      <c r="C567" s="3"/>
      <c r="D567" s="3"/>
      <c r="E567" s="3"/>
      <c r="F567" s="5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7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  <c r="GZ567" s="3"/>
      <c r="HA567" s="3"/>
      <c r="HB567" s="3"/>
      <c r="HC567" s="3"/>
      <c r="HD567" s="3"/>
      <c r="HE567" s="3"/>
      <c r="HF567" s="3"/>
      <c r="HG567" s="3"/>
      <c r="HH567" s="3"/>
      <c r="HI567" s="3"/>
      <c r="HJ567" s="3"/>
      <c r="HK567" s="3"/>
      <c r="HL567" s="3"/>
      <c r="HM567" s="3"/>
      <c r="HN567" s="3"/>
      <c r="HO567" s="3"/>
      <c r="HP567" s="3"/>
      <c r="HQ567" s="3"/>
      <c r="HR567" s="3"/>
      <c r="HS567" s="3"/>
      <c r="HT567" s="3"/>
    </row>
    <row r="568">
      <c r="A568" s="14"/>
      <c r="B568" s="3"/>
      <c r="C568" s="3"/>
      <c r="D568" s="3"/>
      <c r="E568" s="3"/>
      <c r="F568" s="5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7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  <c r="GZ568" s="3"/>
      <c r="HA568" s="3"/>
      <c r="HB568" s="3"/>
      <c r="HC568" s="3"/>
      <c r="HD568" s="3"/>
      <c r="HE568" s="3"/>
      <c r="HF568" s="3"/>
      <c r="HG568" s="3"/>
      <c r="HH568" s="3"/>
      <c r="HI568" s="3"/>
      <c r="HJ568" s="3"/>
      <c r="HK568" s="3"/>
      <c r="HL568" s="3"/>
      <c r="HM568" s="3"/>
      <c r="HN568" s="3"/>
      <c r="HO568" s="3"/>
      <c r="HP568" s="3"/>
      <c r="HQ568" s="3"/>
      <c r="HR568" s="3"/>
      <c r="HS568" s="3"/>
      <c r="HT568" s="3"/>
    </row>
    <row r="569">
      <c r="A569" s="14"/>
      <c r="B569" s="3"/>
      <c r="C569" s="3"/>
      <c r="D569" s="3"/>
      <c r="E569" s="3"/>
      <c r="F569" s="5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7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  <c r="GJ569" s="3"/>
      <c r="GK569" s="3"/>
      <c r="GL569" s="3"/>
      <c r="GM569" s="3"/>
      <c r="GN569" s="3"/>
      <c r="GO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  <c r="GZ569" s="3"/>
      <c r="HA569" s="3"/>
      <c r="HB569" s="3"/>
      <c r="HC569" s="3"/>
      <c r="HD569" s="3"/>
      <c r="HE569" s="3"/>
      <c r="HF569" s="3"/>
      <c r="HG569" s="3"/>
      <c r="HH569" s="3"/>
      <c r="HI569" s="3"/>
      <c r="HJ569" s="3"/>
      <c r="HK569" s="3"/>
      <c r="HL569" s="3"/>
      <c r="HM569" s="3"/>
      <c r="HN569" s="3"/>
      <c r="HO569" s="3"/>
      <c r="HP569" s="3"/>
      <c r="HQ569" s="3"/>
      <c r="HR569" s="3"/>
      <c r="HS569" s="3"/>
      <c r="HT569" s="3"/>
    </row>
    <row r="570">
      <c r="A570" s="14"/>
      <c r="B570" s="3"/>
      <c r="C570" s="3"/>
      <c r="D570" s="3"/>
      <c r="E570" s="3"/>
      <c r="F570" s="5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7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3"/>
      <c r="HA570" s="3"/>
      <c r="HB570" s="3"/>
      <c r="HC570" s="3"/>
      <c r="HD570" s="3"/>
      <c r="HE570" s="3"/>
      <c r="HF570" s="3"/>
      <c r="HG570" s="3"/>
      <c r="HH570" s="3"/>
      <c r="HI570" s="3"/>
      <c r="HJ570" s="3"/>
      <c r="HK570" s="3"/>
      <c r="HL570" s="3"/>
      <c r="HM570" s="3"/>
      <c r="HN570" s="3"/>
      <c r="HO570" s="3"/>
      <c r="HP570" s="3"/>
      <c r="HQ570" s="3"/>
      <c r="HR570" s="3"/>
      <c r="HS570" s="3"/>
      <c r="HT570" s="3"/>
    </row>
    <row r="571">
      <c r="A571" s="14"/>
      <c r="B571" s="3"/>
      <c r="C571" s="3"/>
      <c r="D571" s="3"/>
      <c r="E571" s="3"/>
      <c r="F571" s="5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7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  <c r="GZ571" s="3"/>
      <c r="HA571" s="3"/>
      <c r="HB571" s="3"/>
      <c r="HC571" s="3"/>
      <c r="HD571" s="3"/>
      <c r="HE571" s="3"/>
      <c r="HF571" s="3"/>
      <c r="HG571" s="3"/>
      <c r="HH571" s="3"/>
      <c r="HI571" s="3"/>
      <c r="HJ571" s="3"/>
      <c r="HK571" s="3"/>
      <c r="HL571" s="3"/>
      <c r="HM571" s="3"/>
      <c r="HN571" s="3"/>
      <c r="HO571" s="3"/>
      <c r="HP571" s="3"/>
      <c r="HQ571" s="3"/>
      <c r="HR571" s="3"/>
      <c r="HS571" s="3"/>
      <c r="HT571" s="3"/>
    </row>
    <row r="572">
      <c r="A572" s="14"/>
      <c r="B572" s="3"/>
      <c r="C572" s="3"/>
      <c r="D572" s="3"/>
      <c r="E572" s="3"/>
      <c r="F572" s="5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7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  <c r="GZ572" s="3"/>
      <c r="HA572" s="3"/>
      <c r="HB572" s="3"/>
      <c r="HC572" s="3"/>
      <c r="HD572" s="3"/>
      <c r="HE572" s="3"/>
      <c r="HF572" s="3"/>
      <c r="HG572" s="3"/>
      <c r="HH572" s="3"/>
      <c r="HI572" s="3"/>
      <c r="HJ572" s="3"/>
      <c r="HK572" s="3"/>
      <c r="HL572" s="3"/>
      <c r="HM572" s="3"/>
      <c r="HN572" s="3"/>
      <c r="HO572" s="3"/>
      <c r="HP572" s="3"/>
      <c r="HQ572" s="3"/>
      <c r="HR572" s="3"/>
      <c r="HS572" s="3"/>
      <c r="HT572" s="3"/>
    </row>
    <row r="573">
      <c r="A573" s="14"/>
      <c r="B573" s="3"/>
      <c r="C573" s="3"/>
      <c r="D573" s="3"/>
      <c r="E573" s="3"/>
      <c r="F573" s="5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7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  <c r="GZ573" s="3"/>
      <c r="HA573" s="3"/>
      <c r="HB573" s="3"/>
      <c r="HC573" s="3"/>
      <c r="HD573" s="3"/>
      <c r="HE573" s="3"/>
      <c r="HF573" s="3"/>
      <c r="HG573" s="3"/>
      <c r="HH573" s="3"/>
      <c r="HI573" s="3"/>
      <c r="HJ573" s="3"/>
      <c r="HK573" s="3"/>
      <c r="HL573" s="3"/>
      <c r="HM573" s="3"/>
      <c r="HN573" s="3"/>
      <c r="HO573" s="3"/>
      <c r="HP573" s="3"/>
      <c r="HQ573" s="3"/>
      <c r="HR573" s="3"/>
      <c r="HS573" s="3"/>
      <c r="HT573" s="3"/>
    </row>
    <row r="574">
      <c r="A574" s="14"/>
      <c r="B574" s="3"/>
      <c r="C574" s="3"/>
      <c r="D574" s="3"/>
      <c r="E574" s="3"/>
      <c r="F574" s="5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7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  <c r="GZ574" s="3"/>
      <c r="HA574" s="3"/>
      <c r="HB574" s="3"/>
      <c r="HC574" s="3"/>
      <c r="HD574" s="3"/>
      <c r="HE574" s="3"/>
      <c r="HF574" s="3"/>
      <c r="HG574" s="3"/>
      <c r="HH574" s="3"/>
      <c r="HI574" s="3"/>
      <c r="HJ574" s="3"/>
      <c r="HK574" s="3"/>
      <c r="HL574" s="3"/>
      <c r="HM574" s="3"/>
      <c r="HN574" s="3"/>
      <c r="HO574" s="3"/>
      <c r="HP574" s="3"/>
      <c r="HQ574" s="3"/>
      <c r="HR574" s="3"/>
      <c r="HS574" s="3"/>
      <c r="HT574" s="3"/>
    </row>
    <row r="575">
      <c r="A575" s="14"/>
      <c r="B575" s="3"/>
      <c r="C575" s="3"/>
      <c r="D575" s="3"/>
      <c r="E575" s="3"/>
      <c r="F575" s="5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7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  <c r="GZ575" s="3"/>
      <c r="HA575" s="3"/>
      <c r="HB575" s="3"/>
      <c r="HC575" s="3"/>
      <c r="HD575" s="3"/>
      <c r="HE575" s="3"/>
      <c r="HF575" s="3"/>
      <c r="HG575" s="3"/>
      <c r="HH575" s="3"/>
      <c r="HI575" s="3"/>
      <c r="HJ575" s="3"/>
      <c r="HK575" s="3"/>
      <c r="HL575" s="3"/>
      <c r="HM575" s="3"/>
      <c r="HN575" s="3"/>
      <c r="HO575" s="3"/>
      <c r="HP575" s="3"/>
      <c r="HQ575" s="3"/>
      <c r="HR575" s="3"/>
      <c r="HS575" s="3"/>
      <c r="HT575" s="3"/>
    </row>
    <row r="576">
      <c r="A576" s="14"/>
      <c r="B576" s="3"/>
      <c r="C576" s="3"/>
      <c r="D576" s="3"/>
      <c r="E576" s="3"/>
      <c r="F576" s="5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7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  <c r="GZ576" s="3"/>
      <c r="HA576" s="3"/>
      <c r="HB576" s="3"/>
      <c r="HC576" s="3"/>
      <c r="HD576" s="3"/>
      <c r="HE576" s="3"/>
      <c r="HF576" s="3"/>
      <c r="HG576" s="3"/>
      <c r="HH576" s="3"/>
      <c r="HI576" s="3"/>
      <c r="HJ576" s="3"/>
      <c r="HK576" s="3"/>
      <c r="HL576" s="3"/>
      <c r="HM576" s="3"/>
      <c r="HN576" s="3"/>
      <c r="HO576" s="3"/>
      <c r="HP576" s="3"/>
      <c r="HQ576" s="3"/>
      <c r="HR576" s="3"/>
      <c r="HS576" s="3"/>
      <c r="HT576" s="3"/>
    </row>
    <row r="577">
      <c r="A577" s="14"/>
      <c r="B577" s="3"/>
      <c r="C577" s="3"/>
      <c r="D577" s="3"/>
      <c r="E577" s="3"/>
      <c r="F577" s="5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7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  <c r="GH577" s="3"/>
      <c r="GI577" s="3"/>
      <c r="GJ577" s="3"/>
      <c r="GK577" s="3"/>
      <c r="GL577" s="3"/>
      <c r="GM577" s="3"/>
      <c r="GN577" s="3"/>
      <c r="GO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  <c r="GZ577" s="3"/>
      <c r="HA577" s="3"/>
      <c r="HB577" s="3"/>
      <c r="HC577" s="3"/>
      <c r="HD577" s="3"/>
      <c r="HE577" s="3"/>
      <c r="HF577" s="3"/>
      <c r="HG577" s="3"/>
      <c r="HH577" s="3"/>
      <c r="HI577" s="3"/>
      <c r="HJ577" s="3"/>
      <c r="HK577" s="3"/>
      <c r="HL577" s="3"/>
      <c r="HM577" s="3"/>
      <c r="HN577" s="3"/>
      <c r="HO577" s="3"/>
      <c r="HP577" s="3"/>
      <c r="HQ577" s="3"/>
      <c r="HR577" s="3"/>
      <c r="HS577" s="3"/>
      <c r="HT577" s="3"/>
    </row>
    <row r="578">
      <c r="A578" s="14"/>
      <c r="B578" s="3"/>
      <c r="C578" s="3"/>
      <c r="D578" s="3"/>
      <c r="E578" s="3"/>
      <c r="F578" s="5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7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  <c r="GZ578" s="3"/>
      <c r="HA578" s="3"/>
      <c r="HB578" s="3"/>
      <c r="HC578" s="3"/>
      <c r="HD578" s="3"/>
      <c r="HE578" s="3"/>
      <c r="HF578" s="3"/>
      <c r="HG578" s="3"/>
      <c r="HH578" s="3"/>
      <c r="HI578" s="3"/>
      <c r="HJ578" s="3"/>
      <c r="HK578" s="3"/>
      <c r="HL578" s="3"/>
      <c r="HM578" s="3"/>
      <c r="HN578" s="3"/>
      <c r="HO578" s="3"/>
      <c r="HP578" s="3"/>
      <c r="HQ578" s="3"/>
      <c r="HR578" s="3"/>
      <c r="HS578" s="3"/>
      <c r="HT578" s="3"/>
    </row>
    <row r="579">
      <c r="A579" s="14"/>
      <c r="B579" s="3"/>
      <c r="C579" s="3"/>
      <c r="D579" s="3"/>
      <c r="E579" s="3"/>
      <c r="F579" s="5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7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  <c r="GJ579" s="3"/>
      <c r="GK579" s="3"/>
      <c r="GL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  <c r="GZ579" s="3"/>
      <c r="HA579" s="3"/>
      <c r="HB579" s="3"/>
      <c r="HC579" s="3"/>
      <c r="HD579" s="3"/>
      <c r="HE579" s="3"/>
      <c r="HF579" s="3"/>
      <c r="HG579" s="3"/>
      <c r="HH579" s="3"/>
      <c r="HI579" s="3"/>
      <c r="HJ579" s="3"/>
      <c r="HK579" s="3"/>
      <c r="HL579" s="3"/>
      <c r="HM579" s="3"/>
      <c r="HN579" s="3"/>
      <c r="HO579" s="3"/>
      <c r="HP579" s="3"/>
      <c r="HQ579" s="3"/>
      <c r="HR579" s="3"/>
      <c r="HS579" s="3"/>
      <c r="HT579" s="3"/>
    </row>
    <row r="580">
      <c r="A580" s="14"/>
      <c r="B580" s="3"/>
      <c r="C580" s="3"/>
      <c r="D580" s="3"/>
      <c r="E580" s="3"/>
      <c r="F580" s="5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7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/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  <c r="GZ580" s="3"/>
      <c r="HA580" s="3"/>
      <c r="HB580" s="3"/>
      <c r="HC580" s="3"/>
      <c r="HD580" s="3"/>
      <c r="HE580" s="3"/>
      <c r="HF580" s="3"/>
      <c r="HG580" s="3"/>
      <c r="HH580" s="3"/>
      <c r="HI580" s="3"/>
      <c r="HJ580" s="3"/>
      <c r="HK580" s="3"/>
      <c r="HL580" s="3"/>
      <c r="HM580" s="3"/>
      <c r="HN580" s="3"/>
      <c r="HO580" s="3"/>
      <c r="HP580" s="3"/>
      <c r="HQ580" s="3"/>
      <c r="HR580" s="3"/>
      <c r="HS580" s="3"/>
      <c r="HT580" s="3"/>
    </row>
    <row r="581">
      <c r="A581" s="14"/>
      <c r="B581" s="3"/>
      <c r="C581" s="3"/>
      <c r="D581" s="3"/>
      <c r="E581" s="3"/>
      <c r="F581" s="5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7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  <c r="GH581" s="3"/>
      <c r="GI581" s="3"/>
      <c r="GJ581" s="3"/>
      <c r="GK581" s="3"/>
      <c r="GL581" s="3"/>
      <c r="GM581" s="3"/>
      <c r="GN581" s="3"/>
      <c r="GO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  <c r="GZ581" s="3"/>
      <c r="HA581" s="3"/>
      <c r="HB581" s="3"/>
      <c r="HC581" s="3"/>
      <c r="HD581" s="3"/>
      <c r="HE581" s="3"/>
      <c r="HF581" s="3"/>
      <c r="HG581" s="3"/>
      <c r="HH581" s="3"/>
      <c r="HI581" s="3"/>
      <c r="HJ581" s="3"/>
      <c r="HK581" s="3"/>
      <c r="HL581" s="3"/>
      <c r="HM581" s="3"/>
      <c r="HN581" s="3"/>
      <c r="HO581" s="3"/>
      <c r="HP581" s="3"/>
      <c r="HQ581" s="3"/>
      <c r="HR581" s="3"/>
      <c r="HS581" s="3"/>
      <c r="HT581" s="3"/>
    </row>
    <row r="582">
      <c r="A582" s="14"/>
      <c r="B582" s="3"/>
      <c r="C582" s="3"/>
      <c r="D582" s="3"/>
      <c r="E582" s="3"/>
      <c r="F582" s="5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7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/>
      <c r="GJ582" s="3"/>
      <c r="GK582" s="3"/>
      <c r="GL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  <c r="GZ582" s="3"/>
      <c r="HA582" s="3"/>
      <c r="HB582" s="3"/>
      <c r="HC582" s="3"/>
      <c r="HD582" s="3"/>
      <c r="HE582" s="3"/>
      <c r="HF582" s="3"/>
      <c r="HG582" s="3"/>
      <c r="HH582" s="3"/>
      <c r="HI582" s="3"/>
      <c r="HJ582" s="3"/>
      <c r="HK582" s="3"/>
      <c r="HL582" s="3"/>
      <c r="HM582" s="3"/>
      <c r="HN582" s="3"/>
      <c r="HO582" s="3"/>
      <c r="HP582" s="3"/>
      <c r="HQ582" s="3"/>
      <c r="HR582" s="3"/>
      <c r="HS582" s="3"/>
      <c r="HT582" s="3"/>
    </row>
    <row r="583">
      <c r="A583" s="14"/>
      <c r="B583" s="3"/>
      <c r="C583" s="3"/>
      <c r="D583" s="3"/>
      <c r="E583" s="3"/>
      <c r="F583" s="5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7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  <c r="GZ583" s="3"/>
      <c r="HA583" s="3"/>
      <c r="HB583" s="3"/>
      <c r="HC583" s="3"/>
      <c r="HD583" s="3"/>
      <c r="HE583" s="3"/>
      <c r="HF583" s="3"/>
      <c r="HG583" s="3"/>
      <c r="HH583" s="3"/>
      <c r="HI583" s="3"/>
      <c r="HJ583" s="3"/>
      <c r="HK583" s="3"/>
      <c r="HL583" s="3"/>
      <c r="HM583" s="3"/>
      <c r="HN583" s="3"/>
      <c r="HO583" s="3"/>
      <c r="HP583" s="3"/>
      <c r="HQ583" s="3"/>
      <c r="HR583" s="3"/>
      <c r="HS583" s="3"/>
      <c r="HT583" s="3"/>
    </row>
    <row r="584">
      <c r="A584" s="14"/>
      <c r="B584" s="3"/>
      <c r="C584" s="3"/>
      <c r="D584" s="3"/>
      <c r="E584" s="3"/>
      <c r="F584" s="5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7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  <c r="GZ584" s="3"/>
      <c r="HA584" s="3"/>
      <c r="HB584" s="3"/>
      <c r="HC584" s="3"/>
      <c r="HD584" s="3"/>
      <c r="HE584" s="3"/>
      <c r="HF584" s="3"/>
      <c r="HG584" s="3"/>
      <c r="HH584" s="3"/>
      <c r="HI584" s="3"/>
      <c r="HJ584" s="3"/>
      <c r="HK584" s="3"/>
      <c r="HL584" s="3"/>
      <c r="HM584" s="3"/>
      <c r="HN584" s="3"/>
      <c r="HO584" s="3"/>
      <c r="HP584" s="3"/>
      <c r="HQ584" s="3"/>
      <c r="HR584" s="3"/>
      <c r="HS584" s="3"/>
      <c r="HT584" s="3"/>
    </row>
    <row r="585">
      <c r="A585" s="14"/>
      <c r="B585" s="3"/>
      <c r="C585" s="3"/>
      <c r="D585" s="3"/>
      <c r="E585" s="3"/>
      <c r="F585" s="5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7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  <c r="GH585" s="3"/>
      <c r="GI585" s="3"/>
      <c r="GJ585" s="3"/>
      <c r="GK585" s="3"/>
      <c r="GL585" s="3"/>
      <c r="GM585" s="3"/>
      <c r="GN585" s="3"/>
      <c r="GO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  <c r="GZ585" s="3"/>
      <c r="HA585" s="3"/>
      <c r="HB585" s="3"/>
      <c r="HC585" s="3"/>
      <c r="HD585" s="3"/>
      <c r="HE585" s="3"/>
      <c r="HF585" s="3"/>
      <c r="HG585" s="3"/>
      <c r="HH585" s="3"/>
      <c r="HI585" s="3"/>
      <c r="HJ585" s="3"/>
      <c r="HK585" s="3"/>
      <c r="HL585" s="3"/>
      <c r="HM585" s="3"/>
      <c r="HN585" s="3"/>
      <c r="HO585" s="3"/>
      <c r="HP585" s="3"/>
      <c r="HQ585" s="3"/>
      <c r="HR585" s="3"/>
      <c r="HS585" s="3"/>
      <c r="HT585" s="3"/>
    </row>
    <row r="586">
      <c r="A586" s="14"/>
      <c r="B586" s="3"/>
      <c r="C586" s="3"/>
      <c r="D586" s="3"/>
      <c r="E586" s="3"/>
      <c r="F586" s="5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7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  <c r="GZ586" s="3"/>
      <c r="HA586" s="3"/>
      <c r="HB586" s="3"/>
      <c r="HC586" s="3"/>
      <c r="HD586" s="3"/>
      <c r="HE586" s="3"/>
      <c r="HF586" s="3"/>
      <c r="HG586" s="3"/>
      <c r="HH586" s="3"/>
      <c r="HI586" s="3"/>
      <c r="HJ586" s="3"/>
      <c r="HK586" s="3"/>
      <c r="HL586" s="3"/>
      <c r="HM586" s="3"/>
      <c r="HN586" s="3"/>
      <c r="HO586" s="3"/>
      <c r="HP586" s="3"/>
      <c r="HQ586" s="3"/>
      <c r="HR586" s="3"/>
      <c r="HS586" s="3"/>
      <c r="HT586" s="3"/>
    </row>
    <row r="587">
      <c r="A587" s="14"/>
      <c r="B587" s="3"/>
      <c r="C587" s="3"/>
      <c r="D587" s="3"/>
      <c r="E587" s="3"/>
      <c r="F587" s="5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7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  <c r="GH587" s="3"/>
      <c r="GI587" s="3"/>
      <c r="GJ587" s="3"/>
      <c r="GK587" s="3"/>
      <c r="GL587" s="3"/>
      <c r="GM587" s="3"/>
      <c r="GN587" s="3"/>
      <c r="GO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  <c r="GZ587" s="3"/>
      <c r="HA587" s="3"/>
      <c r="HB587" s="3"/>
      <c r="HC587" s="3"/>
      <c r="HD587" s="3"/>
      <c r="HE587" s="3"/>
      <c r="HF587" s="3"/>
      <c r="HG587" s="3"/>
      <c r="HH587" s="3"/>
      <c r="HI587" s="3"/>
      <c r="HJ587" s="3"/>
      <c r="HK587" s="3"/>
      <c r="HL587" s="3"/>
      <c r="HM587" s="3"/>
      <c r="HN587" s="3"/>
      <c r="HO587" s="3"/>
      <c r="HP587" s="3"/>
      <c r="HQ587" s="3"/>
      <c r="HR587" s="3"/>
      <c r="HS587" s="3"/>
      <c r="HT587" s="3"/>
    </row>
    <row r="588">
      <c r="A588" s="14"/>
      <c r="B588" s="3"/>
      <c r="C588" s="3"/>
      <c r="D588" s="3"/>
      <c r="E588" s="3"/>
      <c r="F588" s="5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7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  <c r="GZ588" s="3"/>
      <c r="HA588" s="3"/>
      <c r="HB588" s="3"/>
      <c r="HC588" s="3"/>
      <c r="HD588" s="3"/>
      <c r="HE588" s="3"/>
      <c r="HF588" s="3"/>
      <c r="HG588" s="3"/>
      <c r="HH588" s="3"/>
      <c r="HI588" s="3"/>
      <c r="HJ588" s="3"/>
      <c r="HK588" s="3"/>
      <c r="HL588" s="3"/>
      <c r="HM588" s="3"/>
      <c r="HN588" s="3"/>
      <c r="HO588" s="3"/>
      <c r="HP588" s="3"/>
      <c r="HQ588" s="3"/>
      <c r="HR588" s="3"/>
      <c r="HS588" s="3"/>
      <c r="HT588" s="3"/>
    </row>
    <row r="589">
      <c r="A589" s="14"/>
      <c r="B589" s="3"/>
      <c r="C589" s="3"/>
      <c r="D589" s="3"/>
      <c r="E589" s="3"/>
      <c r="F589" s="5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7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  <c r="GH589" s="3"/>
      <c r="GI589" s="3"/>
      <c r="GJ589" s="3"/>
      <c r="GK589" s="3"/>
      <c r="GL589" s="3"/>
      <c r="GM589" s="3"/>
      <c r="GN589" s="3"/>
      <c r="GO589" s="3"/>
      <c r="GP589" s="3"/>
      <c r="GQ589" s="3"/>
      <c r="GR589" s="3"/>
      <c r="GS589" s="3"/>
      <c r="GT589" s="3"/>
      <c r="GU589" s="3"/>
      <c r="GV589" s="3"/>
      <c r="GW589" s="3"/>
      <c r="GX589" s="3"/>
      <c r="GY589" s="3"/>
      <c r="GZ589" s="3"/>
      <c r="HA589" s="3"/>
      <c r="HB589" s="3"/>
      <c r="HC589" s="3"/>
      <c r="HD589" s="3"/>
      <c r="HE589" s="3"/>
      <c r="HF589" s="3"/>
      <c r="HG589" s="3"/>
      <c r="HH589" s="3"/>
      <c r="HI589" s="3"/>
      <c r="HJ589" s="3"/>
      <c r="HK589" s="3"/>
      <c r="HL589" s="3"/>
      <c r="HM589" s="3"/>
      <c r="HN589" s="3"/>
      <c r="HO589" s="3"/>
      <c r="HP589" s="3"/>
      <c r="HQ589" s="3"/>
      <c r="HR589" s="3"/>
      <c r="HS589" s="3"/>
      <c r="HT589" s="3"/>
    </row>
    <row r="590">
      <c r="A590" s="14"/>
      <c r="B590" s="3"/>
      <c r="C590" s="3"/>
      <c r="D590" s="3"/>
      <c r="E590" s="3"/>
      <c r="F590" s="5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7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  <c r="GZ590" s="3"/>
      <c r="HA590" s="3"/>
      <c r="HB590" s="3"/>
      <c r="HC590" s="3"/>
      <c r="HD590" s="3"/>
      <c r="HE590" s="3"/>
      <c r="HF590" s="3"/>
      <c r="HG590" s="3"/>
      <c r="HH590" s="3"/>
      <c r="HI590" s="3"/>
      <c r="HJ590" s="3"/>
      <c r="HK590" s="3"/>
      <c r="HL590" s="3"/>
      <c r="HM590" s="3"/>
      <c r="HN590" s="3"/>
      <c r="HO590" s="3"/>
      <c r="HP590" s="3"/>
      <c r="HQ590" s="3"/>
      <c r="HR590" s="3"/>
      <c r="HS590" s="3"/>
      <c r="HT590" s="3"/>
    </row>
    <row r="591">
      <c r="A591" s="14"/>
      <c r="B591" s="3"/>
      <c r="C591" s="3"/>
      <c r="D591" s="3"/>
      <c r="E591" s="3"/>
      <c r="F591" s="5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7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  <c r="GZ591" s="3"/>
      <c r="HA591" s="3"/>
      <c r="HB591" s="3"/>
      <c r="HC591" s="3"/>
      <c r="HD591" s="3"/>
      <c r="HE591" s="3"/>
      <c r="HF591" s="3"/>
      <c r="HG591" s="3"/>
      <c r="HH591" s="3"/>
      <c r="HI591" s="3"/>
      <c r="HJ591" s="3"/>
      <c r="HK591" s="3"/>
      <c r="HL591" s="3"/>
      <c r="HM591" s="3"/>
      <c r="HN591" s="3"/>
      <c r="HO591" s="3"/>
      <c r="HP591" s="3"/>
      <c r="HQ591" s="3"/>
      <c r="HR591" s="3"/>
      <c r="HS591" s="3"/>
      <c r="HT591" s="3"/>
    </row>
    <row r="592">
      <c r="A592" s="14"/>
      <c r="B592" s="3"/>
      <c r="C592" s="3"/>
      <c r="D592" s="3"/>
      <c r="E592" s="3"/>
      <c r="F592" s="5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7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  <c r="GZ592" s="3"/>
      <c r="HA592" s="3"/>
      <c r="HB592" s="3"/>
      <c r="HC592" s="3"/>
      <c r="HD592" s="3"/>
      <c r="HE592" s="3"/>
      <c r="HF592" s="3"/>
      <c r="HG592" s="3"/>
      <c r="HH592" s="3"/>
      <c r="HI592" s="3"/>
      <c r="HJ592" s="3"/>
      <c r="HK592" s="3"/>
      <c r="HL592" s="3"/>
      <c r="HM592" s="3"/>
      <c r="HN592" s="3"/>
      <c r="HO592" s="3"/>
      <c r="HP592" s="3"/>
      <c r="HQ592" s="3"/>
      <c r="HR592" s="3"/>
      <c r="HS592" s="3"/>
      <c r="HT592" s="3"/>
    </row>
    <row r="593">
      <c r="A593" s="14"/>
      <c r="B593" s="3"/>
      <c r="C593" s="3"/>
      <c r="D593" s="3"/>
      <c r="E593" s="3"/>
      <c r="F593" s="5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7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  <c r="GH593" s="3"/>
      <c r="GI593" s="3"/>
      <c r="GJ593" s="3"/>
      <c r="GK593" s="3"/>
      <c r="GL593" s="3"/>
      <c r="GM593" s="3"/>
      <c r="GN593" s="3"/>
      <c r="GO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  <c r="GZ593" s="3"/>
      <c r="HA593" s="3"/>
      <c r="HB593" s="3"/>
      <c r="HC593" s="3"/>
      <c r="HD593" s="3"/>
      <c r="HE593" s="3"/>
      <c r="HF593" s="3"/>
      <c r="HG593" s="3"/>
      <c r="HH593" s="3"/>
      <c r="HI593" s="3"/>
      <c r="HJ593" s="3"/>
      <c r="HK593" s="3"/>
      <c r="HL593" s="3"/>
      <c r="HM593" s="3"/>
      <c r="HN593" s="3"/>
      <c r="HO593" s="3"/>
      <c r="HP593" s="3"/>
      <c r="HQ593" s="3"/>
      <c r="HR593" s="3"/>
      <c r="HS593" s="3"/>
      <c r="HT593" s="3"/>
    </row>
    <row r="594">
      <c r="A594" s="14"/>
      <c r="B594" s="3"/>
      <c r="C594" s="3"/>
      <c r="D594" s="3"/>
      <c r="E594" s="3"/>
      <c r="F594" s="5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7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  <c r="GZ594" s="3"/>
      <c r="HA594" s="3"/>
      <c r="HB594" s="3"/>
      <c r="HC594" s="3"/>
      <c r="HD594" s="3"/>
      <c r="HE594" s="3"/>
      <c r="HF594" s="3"/>
      <c r="HG594" s="3"/>
      <c r="HH594" s="3"/>
      <c r="HI594" s="3"/>
      <c r="HJ594" s="3"/>
      <c r="HK594" s="3"/>
      <c r="HL594" s="3"/>
      <c r="HM594" s="3"/>
      <c r="HN594" s="3"/>
      <c r="HO594" s="3"/>
      <c r="HP594" s="3"/>
      <c r="HQ594" s="3"/>
      <c r="HR594" s="3"/>
      <c r="HS594" s="3"/>
      <c r="HT594" s="3"/>
    </row>
    <row r="595">
      <c r="A595" s="14"/>
      <c r="B595" s="3"/>
      <c r="C595" s="3"/>
      <c r="D595" s="3"/>
      <c r="E595" s="3"/>
      <c r="F595" s="5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7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  <c r="GZ595" s="3"/>
      <c r="HA595" s="3"/>
      <c r="HB595" s="3"/>
      <c r="HC595" s="3"/>
      <c r="HD595" s="3"/>
      <c r="HE595" s="3"/>
      <c r="HF595" s="3"/>
      <c r="HG595" s="3"/>
      <c r="HH595" s="3"/>
      <c r="HI595" s="3"/>
      <c r="HJ595" s="3"/>
      <c r="HK595" s="3"/>
      <c r="HL595" s="3"/>
      <c r="HM595" s="3"/>
      <c r="HN595" s="3"/>
      <c r="HO595" s="3"/>
      <c r="HP595" s="3"/>
      <c r="HQ595" s="3"/>
      <c r="HR595" s="3"/>
      <c r="HS595" s="3"/>
      <c r="HT595" s="3"/>
    </row>
    <row r="596">
      <c r="A596" s="14"/>
      <c r="B596" s="3"/>
      <c r="C596" s="3"/>
      <c r="D596" s="3"/>
      <c r="E596" s="3"/>
      <c r="F596" s="5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7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/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  <c r="GZ596" s="3"/>
      <c r="HA596" s="3"/>
      <c r="HB596" s="3"/>
      <c r="HC596" s="3"/>
      <c r="HD596" s="3"/>
      <c r="HE596" s="3"/>
      <c r="HF596" s="3"/>
      <c r="HG596" s="3"/>
      <c r="HH596" s="3"/>
      <c r="HI596" s="3"/>
      <c r="HJ596" s="3"/>
      <c r="HK596" s="3"/>
      <c r="HL596" s="3"/>
      <c r="HM596" s="3"/>
      <c r="HN596" s="3"/>
      <c r="HO596" s="3"/>
      <c r="HP596" s="3"/>
      <c r="HQ596" s="3"/>
      <c r="HR596" s="3"/>
      <c r="HS596" s="3"/>
      <c r="HT596" s="3"/>
    </row>
    <row r="597">
      <c r="A597" s="14"/>
      <c r="B597" s="3"/>
      <c r="C597" s="3"/>
      <c r="D597" s="3"/>
      <c r="E597" s="3"/>
      <c r="F597" s="5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7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  <c r="GH597" s="3"/>
      <c r="GI597" s="3"/>
      <c r="GJ597" s="3"/>
      <c r="GK597" s="3"/>
      <c r="GL597" s="3"/>
      <c r="GM597" s="3"/>
      <c r="GN597" s="3"/>
      <c r="GO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  <c r="GZ597" s="3"/>
      <c r="HA597" s="3"/>
      <c r="HB597" s="3"/>
      <c r="HC597" s="3"/>
      <c r="HD597" s="3"/>
      <c r="HE597" s="3"/>
      <c r="HF597" s="3"/>
      <c r="HG597" s="3"/>
      <c r="HH597" s="3"/>
      <c r="HI597" s="3"/>
      <c r="HJ597" s="3"/>
      <c r="HK597" s="3"/>
      <c r="HL597" s="3"/>
      <c r="HM597" s="3"/>
      <c r="HN597" s="3"/>
      <c r="HO597" s="3"/>
      <c r="HP597" s="3"/>
      <c r="HQ597" s="3"/>
      <c r="HR597" s="3"/>
      <c r="HS597" s="3"/>
      <c r="HT597" s="3"/>
    </row>
    <row r="598">
      <c r="A598" s="14"/>
      <c r="B598" s="3"/>
      <c r="C598" s="3"/>
      <c r="D598" s="3"/>
      <c r="E598" s="3"/>
      <c r="F598" s="5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7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/>
      <c r="GJ598" s="3"/>
      <c r="GK598" s="3"/>
      <c r="GL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  <c r="GZ598" s="3"/>
      <c r="HA598" s="3"/>
      <c r="HB598" s="3"/>
      <c r="HC598" s="3"/>
      <c r="HD598" s="3"/>
      <c r="HE598" s="3"/>
      <c r="HF598" s="3"/>
      <c r="HG598" s="3"/>
      <c r="HH598" s="3"/>
      <c r="HI598" s="3"/>
      <c r="HJ598" s="3"/>
      <c r="HK598" s="3"/>
      <c r="HL598" s="3"/>
      <c r="HM598" s="3"/>
      <c r="HN598" s="3"/>
      <c r="HO598" s="3"/>
      <c r="HP598" s="3"/>
      <c r="HQ598" s="3"/>
      <c r="HR598" s="3"/>
      <c r="HS598" s="3"/>
      <c r="HT598" s="3"/>
    </row>
    <row r="599">
      <c r="A599" s="14"/>
      <c r="B599" s="3"/>
      <c r="C599" s="3"/>
      <c r="D599" s="3"/>
      <c r="E599" s="3"/>
      <c r="F599" s="5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7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/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  <c r="GZ599" s="3"/>
      <c r="HA599" s="3"/>
      <c r="HB599" s="3"/>
      <c r="HC599" s="3"/>
      <c r="HD599" s="3"/>
      <c r="HE599" s="3"/>
      <c r="HF599" s="3"/>
      <c r="HG599" s="3"/>
      <c r="HH599" s="3"/>
      <c r="HI599" s="3"/>
      <c r="HJ599" s="3"/>
      <c r="HK599" s="3"/>
      <c r="HL599" s="3"/>
      <c r="HM599" s="3"/>
      <c r="HN599" s="3"/>
      <c r="HO599" s="3"/>
      <c r="HP599" s="3"/>
      <c r="HQ599" s="3"/>
      <c r="HR599" s="3"/>
      <c r="HS599" s="3"/>
      <c r="HT599" s="3"/>
    </row>
    <row r="600">
      <c r="A600" s="14"/>
      <c r="B600" s="3"/>
      <c r="C600" s="3"/>
      <c r="D600" s="3"/>
      <c r="E600" s="3"/>
      <c r="F600" s="5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7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/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  <c r="GZ600" s="3"/>
      <c r="HA600" s="3"/>
      <c r="HB600" s="3"/>
      <c r="HC600" s="3"/>
      <c r="HD600" s="3"/>
      <c r="HE600" s="3"/>
      <c r="HF600" s="3"/>
      <c r="HG600" s="3"/>
      <c r="HH600" s="3"/>
      <c r="HI600" s="3"/>
      <c r="HJ600" s="3"/>
      <c r="HK600" s="3"/>
      <c r="HL600" s="3"/>
      <c r="HM600" s="3"/>
      <c r="HN600" s="3"/>
      <c r="HO600" s="3"/>
      <c r="HP600" s="3"/>
      <c r="HQ600" s="3"/>
      <c r="HR600" s="3"/>
      <c r="HS600" s="3"/>
      <c r="HT600" s="3"/>
    </row>
    <row r="601">
      <c r="A601" s="14"/>
      <c r="B601" s="3"/>
      <c r="C601" s="3"/>
      <c r="D601" s="3"/>
      <c r="E601" s="3"/>
      <c r="F601" s="5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7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  <c r="GH601" s="3"/>
      <c r="GI601" s="3"/>
      <c r="GJ601" s="3"/>
      <c r="GK601" s="3"/>
      <c r="GL601" s="3"/>
      <c r="GM601" s="3"/>
      <c r="GN601" s="3"/>
      <c r="GO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  <c r="GZ601" s="3"/>
      <c r="HA601" s="3"/>
      <c r="HB601" s="3"/>
      <c r="HC601" s="3"/>
      <c r="HD601" s="3"/>
      <c r="HE601" s="3"/>
      <c r="HF601" s="3"/>
      <c r="HG601" s="3"/>
      <c r="HH601" s="3"/>
      <c r="HI601" s="3"/>
      <c r="HJ601" s="3"/>
      <c r="HK601" s="3"/>
      <c r="HL601" s="3"/>
      <c r="HM601" s="3"/>
      <c r="HN601" s="3"/>
      <c r="HO601" s="3"/>
      <c r="HP601" s="3"/>
      <c r="HQ601" s="3"/>
      <c r="HR601" s="3"/>
      <c r="HS601" s="3"/>
      <c r="HT601" s="3"/>
    </row>
    <row r="602">
      <c r="A602" s="14"/>
      <c r="B602" s="3"/>
      <c r="C602" s="3"/>
      <c r="D602" s="3"/>
      <c r="E602" s="3"/>
      <c r="F602" s="5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7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  <c r="GJ602" s="3"/>
      <c r="GK602" s="3"/>
      <c r="GL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  <c r="GZ602" s="3"/>
      <c r="HA602" s="3"/>
      <c r="HB602" s="3"/>
      <c r="HC602" s="3"/>
      <c r="HD602" s="3"/>
      <c r="HE602" s="3"/>
      <c r="HF602" s="3"/>
      <c r="HG602" s="3"/>
      <c r="HH602" s="3"/>
      <c r="HI602" s="3"/>
      <c r="HJ602" s="3"/>
      <c r="HK602" s="3"/>
      <c r="HL602" s="3"/>
      <c r="HM602" s="3"/>
      <c r="HN602" s="3"/>
      <c r="HO602" s="3"/>
      <c r="HP602" s="3"/>
      <c r="HQ602" s="3"/>
      <c r="HR602" s="3"/>
      <c r="HS602" s="3"/>
      <c r="HT602" s="3"/>
    </row>
    <row r="603">
      <c r="A603" s="14"/>
      <c r="B603" s="3"/>
      <c r="C603" s="3"/>
      <c r="D603" s="3"/>
      <c r="E603" s="3"/>
      <c r="F603" s="5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7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3"/>
      <c r="GG603" s="3"/>
      <c r="GH603" s="3"/>
      <c r="GI603" s="3"/>
      <c r="GJ603" s="3"/>
      <c r="GK603" s="3"/>
      <c r="GL603" s="3"/>
      <c r="GM603" s="3"/>
      <c r="GN603" s="3"/>
      <c r="GO603" s="3"/>
      <c r="GP603" s="3"/>
      <c r="GQ603" s="3"/>
      <c r="GR603" s="3"/>
      <c r="GS603" s="3"/>
      <c r="GT603" s="3"/>
      <c r="GU603" s="3"/>
      <c r="GV603" s="3"/>
      <c r="GW603" s="3"/>
      <c r="GX603" s="3"/>
      <c r="GY603" s="3"/>
      <c r="GZ603" s="3"/>
      <c r="HA603" s="3"/>
      <c r="HB603" s="3"/>
      <c r="HC603" s="3"/>
      <c r="HD603" s="3"/>
      <c r="HE603" s="3"/>
      <c r="HF603" s="3"/>
      <c r="HG603" s="3"/>
      <c r="HH603" s="3"/>
      <c r="HI603" s="3"/>
      <c r="HJ603" s="3"/>
      <c r="HK603" s="3"/>
      <c r="HL603" s="3"/>
      <c r="HM603" s="3"/>
      <c r="HN603" s="3"/>
      <c r="HO603" s="3"/>
      <c r="HP603" s="3"/>
      <c r="HQ603" s="3"/>
      <c r="HR603" s="3"/>
      <c r="HS603" s="3"/>
      <c r="HT603" s="3"/>
    </row>
    <row r="604">
      <c r="A604" s="14"/>
      <c r="B604" s="3"/>
      <c r="C604" s="3"/>
      <c r="D604" s="3"/>
      <c r="E604" s="3"/>
      <c r="F604" s="5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7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  <c r="GH604" s="3"/>
      <c r="GI604" s="3"/>
      <c r="GJ604" s="3"/>
      <c r="GK604" s="3"/>
      <c r="GL604" s="3"/>
      <c r="GM604" s="3"/>
      <c r="GN604" s="3"/>
      <c r="GO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  <c r="GZ604" s="3"/>
      <c r="HA604" s="3"/>
      <c r="HB604" s="3"/>
      <c r="HC604" s="3"/>
      <c r="HD604" s="3"/>
      <c r="HE604" s="3"/>
      <c r="HF604" s="3"/>
      <c r="HG604" s="3"/>
      <c r="HH604" s="3"/>
      <c r="HI604" s="3"/>
      <c r="HJ604" s="3"/>
      <c r="HK604" s="3"/>
      <c r="HL604" s="3"/>
      <c r="HM604" s="3"/>
      <c r="HN604" s="3"/>
      <c r="HO604" s="3"/>
      <c r="HP604" s="3"/>
      <c r="HQ604" s="3"/>
      <c r="HR604" s="3"/>
      <c r="HS604" s="3"/>
      <c r="HT604" s="3"/>
    </row>
    <row r="605">
      <c r="A605" s="14"/>
      <c r="B605" s="3"/>
      <c r="C605" s="3"/>
      <c r="D605" s="3"/>
      <c r="E605" s="3"/>
      <c r="F605" s="5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7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3"/>
      <c r="GG605" s="3"/>
      <c r="GH605" s="3"/>
      <c r="GI605" s="3"/>
      <c r="GJ605" s="3"/>
      <c r="GK605" s="3"/>
      <c r="GL605" s="3"/>
      <c r="GM605" s="3"/>
      <c r="GN605" s="3"/>
      <c r="GO605" s="3"/>
      <c r="GP605" s="3"/>
      <c r="GQ605" s="3"/>
      <c r="GR605" s="3"/>
      <c r="GS605" s="3"/>
      <c r="GT605" s="3"/>
      <c r="GU605" s="3"/>
      <c r="GV605" s="3"/>
      <c r="GW605" s="3"/>
      <c r="GX605" s="3"/>
      <c r="GY605" s="3"/>
      <c r="GZ605" s="3"/>
      <c r="HA605" s="3"/>
      <c r="HB605" s="3"/>
      <c r="HC605" s="3"/>
      <c r="HD605" s="3"/>
      <c r="HE605" s="3"/>
      <c r="HF605" s="3"/>
      <c r="HG605" s="3"/>
      <c r="HH605" s="3"/>
      <c r="HI605" s="3"/>
      <c r="HJ605" s="3"/>
      <c r="HK605" s="3"/>
      <c r="HL605" s="3"/>
      <c r="HM605" s="3"/>
      <c r="HN605" s="3"/>
      <c r="HO605" s="3"/>
      <c r="HP605" s="3"/>
      <c r="HQ605" s="3"/>
      <c r="HR605" s="3"/>
      <c r="HS605" s="3"/>
      <c r="HT605" s="3"/>
    </row>
    <row r="606">
      <c r="A606" s="14"/>
      <c r="B606" s="3"/>
      <c r="C606" s="3"/>
      <c r="D606" s="3"/>
      <c r="E606" s="3"/>
      <c r="F606" s="5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7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  <c r="GJ606" s="3"/>
      <c r="GK606" s="3"/>
      <c r="GL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  <c r="GZ606" s="3"/>
      <c r="HA606" s="3"/>
      <c r="HB606" s="3"/>
      <c r="HC606" s="3"/>
      <c r="HD606" s="3"/>
      <c r="HE606" s="3"/>
      <c r="HF606" s="3"/>
      <c r="HG606" s="3"/>
      <c r="HH606" s="3"/>
      <c r="HI606" s="3"/>
      <c r="HJ606" s="3"/>
      <c r="HK606" s="3"/>
      <c r="HL606" s="3"/>
      <c r="HM606" s="3"/>
      <c r="HN606" s="3"/>
      <c r="HO606" s="3"/>
      <c r="HP606" s="3"/>
      <c r="HQ606" s="3"/>
      <c r="HR606" s="3"/>
      <c r="HS606" s="3"/>
      <c r="HT606" s="3"/>
    </row>
    <row r="607">
      <c r="A607" s="14"/>
      <c r="B607" s="3"/>
      <c r="C607" s="3"/>
      <c r="D607" s="3"/>
      <c r="E607" s="3"/>
      <c r="F607" s="5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7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3"/>
      <c r="GG607" s="3"/>
      <c r="GH607" s="3"/>
      <c r="GI607" s="3"/>
      <c r="GJ607" s="3"/>
      <c r="GK607" s="3"/>
      <c r="GL607" s="3"/>
      <c r="GM607" s="3"/>
      <c r="GN607" s="3"/>
      <c r="GO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  <c r="GZ607" s="3"/>
      <c r="HA607" s="3"/>
      <c r="HB607" s="3"/>
      <c r="HC607" s="3"/>
      <c r="HD607" s="3"/>
      <c r="HE607" s="3"/>
      <c r="HF607" s="3"/>
      <c r="HG607" s="3"/>
      <c r="HH607" s="3"/>
      <c r="HI607" s="3"/>
      <c r="HJ607" s="3"/>
      <c r="HK607" s="3"/>
      <c r="HL607" s="3"/>
      <c r="HM607" s="3"/>
      <c r="HN607" s="3"/>
      <c r="HO607" s="3"/>
      <c r="HP607" s="3"/>
      <c r="HQ607" s="3"/>
      <c r="HR607" s="3"/>
      <c r="HS607" s="3"/>
      <c r="HT607" s="3"/>
    </row>
    <row r="608">
      <c r="A608" s="14"/>
      <c r="B608" s="3"/>
      <c r="C608" s="3"/>
      <c r="D608" s="3"/>
      <c r="E608" s="3"/>
      <c r="F608" s="5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7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  <c r="GH608" s="3"/>
      <c r="GI608" s="3"/>
      <c r="GJ608" s="3"/>
      <c r="GK608" s="3"/>
      <c r="GL608" s="3"/>
      <c r="GM608" s="3"/>
      <c r="GN608" s="3"/>
      <c r="GO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  <c r="GZ608" s="3"/>
      <c r="HA608" s="3"/>
      <c r="HB608" s="3"/>
      <c r="HC608" s="3"/>
      <c r="HD608" s="3"/>
      <c r="HE608" s="3"/>
      <c r="HF608" s="3"/>
      <c r="HG608" s="3"/>
      <c r="HH608" s="3"/>
      <c r="HI608" s="3"/>
      <c r="HJ608" s="3"/>
      <c r="HK608" s="3"/>
      <c r="HL608" s="3"/>
      <c r="HM608" s="3"/>
      <c r="HN608" s="3"/>
      <c r="HO608" s="3"/>
      <c r="HP608" s="3"/>
      <c r="HQ608" s="3"/>
      <c r="HR608" s="3"/>
      <c r="HS608" s="3"/>
      <c r="HT608" s="3"/>
    </row>
    <row r="609">
      <c r="A609" s="14"/>
      <c r="B609" s="3"/>
      <c r="C609" s="3"/>
      <c r="D609" s="3"/>
      <c r="E609" s="3"/>
      <c r="F609" s="5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7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3"/>
      <c r="GG609" s="3"/>
      <c r="GH609" s="3"/>
      <c r="GI609" s="3"/>
      <c r="GJ609" s="3"/>
      <c r="GK609" s="3"/>
      <c r="GL609" s="3"/>
      <c r="GM609" s="3"/>
      <c r="GN609" s="3"/>
      <c r="GO609" s="3"/>
      <c r="GP609" s="3"/>
      <c r="GQ609" s="3"/>
      <c r="GR609" s="3"/>
      <c r="GS609" s="3"/>
      <c r="GT609" s="3"/>
      <c r="GU609" s="3"/>
      <c r="GV609" s="3"/>
      <c r="GW609" s="3"/>
      <c r="GX609" s="3"/>
      <c r="GY609" s="3"/>
      <c r="GZ609" s="3"/>
      <c r="HA609" s="3"/>
      <c r="HB609" s="3"/>
      <c r="HC609" s="3"/>
      <c r="HD609" s="3"/>
      <c r="HE609" s="3"/>
      <c r="HF609" s="3"/>
      <c r="HG609" s="3"/>
      <c r="HH609" s="3"/>
      <c r="HI609" s="3"/>
      <c r="HJ609" s="3"/>
      <c r="HK609" s="3"/>
      <c r="HL609" s="3"/>
      <c r="HM609" s="3"/>
      <c r="HN609" s="3"/>
      <c r="HO609" s="3"/>
      <c r="HP609" s="3"/>
      <c r="HQ609" s="3"/>
      <c r="HR609" s="3"/>
      <c r="HS609" s="3"/>
      <c r="HT609" s="3"/>
    </row>
    <row r="610">
      <c r="A610" s="14"/>
      <c r="B610" s="3"/>
      <c r="C610" s="3"/>
      <c r="D610" s="3"/>
      <c r="E610" s="3"/>
      <c r="F610" s="5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7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  <c r="GH610" s="3"/>
      <c r="GI610" s="3"/>
      <c r="GJ610" s="3"/>
      <c r="GK610" s="3"/>
      <c r="GL610" s="3"/>
      <c r="GM610" s="3"/>
      <c r="GN610" s="3"/>
      <c r="GO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  <c r="GZ610" s="3"/>
      <c r="HA610" s="3"/>
      <c r="HB610" s="3"/>
      <c r="HC610" s="3"/>
      <c r="HD610" s="3"/>
      <c r="HE610" s="3"/>
      <c r="HF610" s="3"/>
      <c r="HG610" s="3"/>
      <c r="HH610" s="3"/>
      <c r="HI610" s="3"/>
      <c r="HJ610" s="3"/>
      <c r="HK610" s="3"/>
      <c r="HL610" s="3"/>
      <c r="HM610" s="3"/>
      <c r="HN610" s="3"/>
      <c r="HO610" s="3"/>
      <c r="HP610" s="3"/>
      <c r="HQ610" s="3"/>
      <c r="HR610" s="3"/>
      <c r="HS610" s="3"/>
      <c r="HT610" s="3"/>
    </row>
    <row r="611">
      <c r="A611" s="14"/>
      <c r="B611" s="3"/>
      <c r="C611" s="3"/>
      <c r="D611" s="3"/>
      <c r="E611" s="3"/>
      <c r="F611" s="5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7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3"/>
      <c r="GG611" s="3"/>
      <c r="GH611" s="3"/>
      <c r="GI611" s="3"/>
      <c r="GJ611" s="3"/>
      <c r="GK611" s="3"/>
      <c r="GL611" s="3"/>
      <c r="GM611" s="3"/>
      <c r="GN611" s="3"/>
      <c r="GO611" s="3"/>
      <c r="GP611" s="3"/>
      <c r="GQ611" s="3"/>
      <c r="GR611" s="3"/>
      <c r="GS611" s="3"/>
      <c r="GT611" s="3"/>
      <c r="GU611" s="3"/>
      <c r="GV611" s="3"/>
      <c r="GW611" s="3"/>
      <c r="GX611" s="3"/>
      <c r="GY611" s="3"/>
      <c r="GZ611" s="3"/>
      <c r="HA611" s="3"/>
      <c r="HB611" s="3"/>
      <c r="HC611" s="3"/>
      <c r="HD611" s="3"/>
      <c r="HE611" s="3"/>
      <c r="HF611" s="3"/>
      <c r="HG611" s="3"/>
      <c r="HH611" s="3"/>
      <c r="HI611" s="3"/>
      <c r="HJ611" s="3"/>
      <c r="HK611" s="3"/>
      <c r="HL611" s="3"/>
      <c r="HM611" s="3"/>
      <c r="HN611" s="3"/>
      <c r="HO611" s="3"/>
      <c r="HP611" s="3"/>
      <c r="HQ611" s="3"/>
      <c r="HR611" s="3"/>
      <c r="HS611" s="3"/>
      <c r="HT611" s="3"/>
    </row>
    <row r="612">
      <c r="A612" s="14"/>
      <c r="B612" s="3"/>
      <c r="C612" s="3"/>
      <c r="D612" s="3"/>
      <c r="E612" s="3"/>
      <c r="F612" s="5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7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3"/>
      <c r="GG612" s="3"/>
      <c r="GH612" s="3"/>
      <c r="GI612" s="3"/>
      <c r="GJ612" s="3"/>
      <c r="GK612" s="3"/>
      <c r="GL612" s="3"/>
      <c r="GM612" s="3"/>
      <c r="GN612" s="3"/>
      <c r="GO612" s="3"/>
      <c r="GP612" s="3"/>
      <c r="GQ612" s="3"/>
      <c r="GR612" s="3"/>
      <c r="GS612" s="3"/>
      <c r="GT612" s="3"/>
      <c r="GU612" s="3"/>
      <c r="GV612" s="3"/>
      <c r="GW612" s="3"/>
      <c r="GX612" s="3"/>
      <c r="GY612" s="3"/>
      <c r="GZ612" s="3"/>
      <c r="HA612" s="3"/>
      <c r="HB612" s="3"/>
      <c r="HC612" s="3"/>
      <c r="HD612" s="3"/>
      <c r="HE612" s="3"/>
      <c r="HF612" s="3"/>
      <c r="HG612" s="3"/>
      <c r="HH612" s="3"/>
      <c r="HI612" s="3"/>
      <c r="HJ612" s="3"/>
      <c r="HK612" s="3"/>
      <c r="HL612" s="3"/>
      <c r="HM612" s="3"/>
      <c r="HN612" s="3"/>
      <c r="HO612" s="3"/>
      <c r="HP612" s="3"/>
      <c r="HQ612" s="3"/>
      <c r="HR612" s="3"/>
      <c r="HS612" s="3"/>
      <c r="HT612" s="3"/>
    </row>
    <row r="613">
      <c r="A613" s="14"/>
      <c r="B613" s="3"/>
      <c r="C613" s="3"/>
      <c r="D613" s="3"/>
      <c r="E613" s="3"/>
      <c r="F613" s="5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7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3"/>
      <c r="GG613" s="3"/>
      <c r="GH613" s="3"/>
      <c r="GI613" s="3"/>
      <c r="GJ613" s="3"/>
      <c r="GK613" s="3"/>
      <c r="GL613" s="3"/>
      <c r="GM613" s="3"/>
      <c r="GN613" s="3"/>
      <c r="GO613" s="3"/>
      <c r="GP613" s="3"/>
      <c r="GQ613" s="3"/>
      <c r="GR613" s="3"/>
      <c r="GS613" s="3"/>
      <c r="GT613" s="3"/>
      <c r="GU613" s="3"/>
      <c r="GV613" s="3"/>
      <c r="GW613" s="3"/>
      <c r="GX613" s="3"/>
      <c r="GY613" s="3"/>
      <c r="GZ613" s="3"/>
      <c r="HA613" s="3"/>
      <c r="HB613" s="3"/>
      <c r="HC613" s="3"/>
      <c r="HD613" s="3"/>
      <c r="HE613" s="3"/>
      <c r="HF613" s="3"/>
      <c r="HG613" s="3"/>
      <c r="HH613" s="3"/>
      <c r="HI613" s="3"/>
      <c r="HJ613" s="3"/>
      <c r="HK613" s="3"/>
      <c r="HL613" s="3"/>
      <c r="HM613" s="3"/>
      <c r="HN613" s="3"/>
      <c r="HO613" s="3"/>
      <c r="HP613" s="3"/>
      <c r="HQ613" s="3"/>
      <c r="HR613" s="3"/>
      <c r="HS613" s="3"/>
      <c r="HT613" s="3"/>
    </row>
    <row r="614">
      <c r="A614" s="14"/>
      <c r="B614" s="3"/>
      <c r="C614" s="3"/>
      <c r="D614" s="3"/>
      <c r="E614" s="3"/>
      <c r="F614" s="5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7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3"/>
      <c r="GG614" s="3"/>
      <c r="GH614" s="3"/>
      <c r="GI614" s="3"/>
      <c r="GJ614" s="3"/>
      <c r="GK614" s="3"/>
      <c r="GL614" s="3"/>
      <c r="GM614" s="3"/>
      <c r="GN614" s="3"/>
      <c r="GO614" s="3"/>
      <c r="GP614" s="3"/>
      <c r="GQ614" s="3"/>
      <c r="GR614" s="3"/>
      <c r="GS614" s="3"/>
      <c r="GT614" s="3"/>
      <c r="GU614" s="3"/>
      <c r="GV614" s="3"/>
      <c r="GW614" s="3"/>
      <c r="GX614" s="3"/>
      <c r="GY614" s="3"/>
      <c r="GZ614" s="3"/>
      <c r="HA614" s="3"/>
      <c r="HB614" s="3"/>
      <c r="HC614" s="3"/>
      <c r="HD614" s="3"/>
      <c r="HE614" s="3"/>
      <c r="HF614" s="3"/>
      <c r="HG614" s="3"/>
      <c r="HH614" s="3"/>
      <c r="HI614" s="3"/>
      <c r="HJ614" s="3"/>
      <c r="HK614" s="3"/>
      <c r="HL614" s="3"/>
      <c r="HM614" s="3"/>
      <c r="HN614" s="3"/>
      <c r="HO614" s="3"/>
      <c r="HP614" s="3"/>
      <c r="HQ614" s="3"/>
      <c r="HR614" s="3"/>
      <c r="HS614" s="3"/>
      <c r="HT614" s="3"/>
    </row>
    <row r="615">
      <c r="A615" s="14"/>
      <c r="B615" s="3"/>
      <c r="C615" s="3"/>
      <c r="D615" s="3"/>
      <c r="E615" s="3"/>
      <c r="F615" s="5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7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  <c r="GH615" s="3"/>
      <c r="GI615" s="3"/>
      <c r="GJ615" s="3"/>
      <c r="GK615" s="3"/>
      <c r="GL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  <c r="GZ615" s="3"/>
      <c r="HA615" s="3"/>
      <c r="HB615" s="3"/>
      <c r="HC615" s="3"/>
      <c r="HD615" s="3"/>
      <c r="HE615" s="3"/>
      <c r="HF615" s="3"/>
      <c r="HG615" s="3"/>
      <c r="HH615" s="3"/>
      <c r="HI615" s="3"/>
      <c r="HJ615" s="3"/>
      <c r="HK615" s="3"/>
      <c r="HL615" s="3"/>
      <c r="HM615" s="3"/>
      <c r="HN615" s="3"/>
      <c r="HO615" s="3"/>
      <c r="HP615" s="3"/>
      <c r="HQ615" s="3"/>
      <c r="HR615" s="3"/>
      <c r="HS615" s="3"/>
      <c r="HT615" s="3"/>
    </row>
    <row r="616">
      <c r="A616" s="14"/>
      <c r="B616" s="3"/>
      <c r="C616" s="3"/>
      <c r="D616" s="3"/>
      <c r="E616" s="3"/>
      <c r="F616" s="5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7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  <c r="GZ616" s="3"/>
      <c r="HA616" s="3"/>
      <c r="HB616" s="3"/>
      <c r="HC616" s="3"/>
      <c r="HD616" s="3"/>
      <c r="HE616" s="3"/>
      <c r="HF616" s="3"/>
      <c r="HG616" s="3"/>
      <c r="HH616" s="3"/>
      <c r="HI616" s="3"/>
      <c r="HJ616" s="3"/>
      <c r="HK616" s="3"/>
      <c r="HL616" s="3"/>
      <c r="HM616" s="3"/>
      <c r="HN616" s="3"/>
      <c r="HO616" s="3"/>
      <c r="HP616" s="3"/>
      <c r="HQ616" s="3"/>
      <c r="HR616" s="3"/>
      <c r="HS616" s="3"/>
      <c r="HT616" s="3"/>
    </row>
    <row r="617">
      <c r="A617" s="14"/>
      <c r="B617" s="3"/>
      <c r="C617" s="3"/>
      <c r="D617" s="3"/>
      <c r="E617" s="3"/>
      <c r="F617" s="5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7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  <c r="GH617" s="3"/>
      <c r="GI617" s="3"/>
      <c r="GJ617" s="3"/>
      <c r="GK617" s="3"/>
      <c r="GL617" s="3"/>
      <c r="GM617" s="3"/>
      <c r="GN617" s="3"/>
      <c r="GO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  <c r="GZ617" s="3"/>
      <c r="HA617" s="3"/>
      <c r="HB617" s="3"/>
      <c r="HC617" s="3"/>
      <c r="HD617" s="3"/>
      <c r="HE617" s="3"/>
      <c r="HF617" s="3"/>
      <c r="HG617" s="3"/>
      <c r="HH617" s="3"/>
      <c r="HI617" s="3"/>
      <c r="HJ617" s="3"/>
      <c r="HK617" s="3"/>
      <c r="HL617" s="3"/>
      <c r="HM617" s="3"/>
      <c r="HN617" s="3"/>
      <c r="HO617" s="3"/>
      <c r="HP617" s="3"/>
      <c r="HQ617" s="3"/>
      <c r="HR617" s="3"/>
      <c r="HS617" s="3"/>
      <c r="HT617" s="3"/>
    </row>
    <row r="618">
      <c r="A618" s="14"/>
      <c r="B618" s="3"/>
      <c r="C618" s="3"/>
      <c r="D618" s="3"/>
      <c r="E618" s="3"/>
      <c r="F618" s="5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7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  <c r="GH618" s="3"/>
      <c r="GI618" s="3"/>
      <c r="GJ618" s="3"/>
      <c r="GK618" s="3"/>
      <c r="GL618" s="3"/>
      <c r="GM618" s="3"/>
      <c r="GN618" s="3"/>
      <c r="GO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  <c r="GZ618" s="3"/>
      <c r="HA618" s="3"/>
      <c r="HB618" s="3"/>
      <c r="HC618" s="3"/>
      <c r="HD618" s="3"/>
      <c r="HE618" s="3"/>
      <c r="HF618" s="3"/>
      <c r="HG618" s="3"/>
      <c r="HH618" s="3"/>
      <c r="HI618" s="3"/>
      <c r="HJ618" s="3"/>
      <c r="HK618" s="3"/>
      <c r="HL618" s="3"/>
      <c r="HM618" s="3"/>
      <c r="HN618" s="3"/>
      <c r="HO618" s="3"/>
      <c r="HP618" s="3"/>
      <c r="HQ618" s="3"/>
      <c r="HR618" s="3"/>
      <c r="HS618" s="3"/>
      <c r="HT618" s="3"/>
    </row>
    <row r="619">
      <c r="A619" s="14"/>
      <c r="B619" s="3"/>
      <c r="C619" s="3"/>
      <c r="D619" s="3"/>
      <c r="E619" s="3"/>
      <c r="F619" s="5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7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3"/>
      <c r="GG619" s="3"/>
      <c r="GH619" s="3"/>
      <c r="GI619" s="3"/>
      <c r="GJ619" s="3"/>
      <c r="GK619" s="3"/>
      <c r="GL619" s="3"/>
      <c r="GM619" s="3"/>
      <c r="GN619" s="3"/>
      <c r="GO619" s="3"/>
      <c r="GP619" s="3"/>
      <c r="GQ619" s="3"/>
      <c r="GR619" s="3"/>
      <c r="GS619" s="3"/>
      <c r="GT619" s="3"/>
      <c r="GU619" s="3"/>
      <c r="GV619" s="3"/>
      <c r="GW619" s="3"/>
      <c r="GX619" s="3"/>
      <c r="GY619" s="3"/>
      <c r="GZ619" s="3"/>
      <c r="HA619" s="3"/>
      <c r="HB619" s="3"/>
      <c r="HC619" s="3"/>
      <c r="HD619" s="3"/>
      <c r="HE619" s="3"/>
      <c r="HF619" s="3"/>
      <c r="HG619" s="3"/>
      <c r="HH619" s="3"/>
      <c r="HI619" s="3"/>
      <c r="HJ619" s="3"/>
      <c r="HK619" s="3"/>
      <c r="HL619" s="3"/>
      <c r="HM619" s="3"/>
      <c r="HN619" s="3"/>
      <c r="HO619" s="3"/>
      <c r="HP619" s="3"/>
      <c r="HQ619" s="3"/>
      <c r="HR619" s="3"/>
      <c r="HS619" s="3"/>
      <c r="HT619" s="3"/>
    </row>
    <row r="620">
      <c r="A620" s="14"/>
      <c r="B620" s="3"/>
      <c r="C620" s="3"/>
      <c r="D620" s="3"/>
      <c r="E620" s="3"/>
      <c r="F620" s="5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7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3"/>
      <c r="GG620" s="3"/>
      <c r="GH620" s="3"/>
      <c r="GI620" s="3"/>
      <c r="GJ620" s="3"/>
      <c r="GK620" s="3"/>
      <c r="GL620" s="3"/>
      <c r="GM620" s="3"/>
      <c r="GN620" s="3"/>
      <c r="GO620" s="3"/>
      <c r="GP620" s="3"/>
      <c r="GQ620" s="3"/>
      <c r="GR620" s="3"/>
      <c r="GS620" s="3"/>
      <c r="GT620" s="3"/>
      <c r="GU620" s="3"/>
      <c r="GV620" s="3"/>
      <c r="GW620" s="3"/>
      <c r="GX620" s="3"/>
      <c r="GY620" s="3"/>
      <c r="GZ620" s="3"/>
      <c r="HA620" s="3"/>
      <c r="HB620" s="3"/>
      <c r="HC620" s="3"/>
      <c r="HD620" s="3"/>
      <c r="HE620" s="3"/>
      <c r="HF620" s="3"/>
      <c r="HG620" s="3"/>
      <c r="HH620" s="3"/>
      <c r="HI620" s="3"/>
      <c r="HJ620" s="3"/>
      <c r="HK620" s="3"/>
      <c r="HL620" s="3"/>
      <c r="HM620" s="3"/>
      <c r="HN620" s="3"/>
      <c r="HO620" s="3"/>
      <c r="HP620" s="3"/>
      <c r="HQ620" s="3"/>
      <c r="HR620" s="3"/>
      <c r="HS620" s="3"/>
      <c r="HT620" s="3"/>
    </row>
    <row r="621">
      <c r="A621" s="14"/>
      <c r="B621" s="3"/>
      <c r="C621" s="3"/>
      <c r="D621" s="3"/>
      <c r="E621" s="3"/>
      <c r="F621" s="5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7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D621" s="3"/>
      <c r="GE621" s="3"/>
      <c r="GF621" s="3"/>
      <c r="GG621" s="3"/>
      <c r="GH621" s="3"/>
      <c r="GI621" s="3"/>
      <c r="GJ621" s="3"/>
      <c r="GK621" s="3"/>
      <c r="GL621" s="3"/>
      <c r="GM621" s="3"/>
      <c r="GN621" s="3"/>
      <c r="GO621" s="3"/>
      <c r="GP621" s="3"/>
      <c r="GQ621" s="3"/>
      <c r="GR621" s="3"/>
      <c r="GS621" s="3"/>
      <c r="GT621" s="3"/>
      <c r="GU621" s="3"/>
      <c r="GV621" s="3"/>
      <c r="GW621" s="3"/>
      <c r="GX621" s="3"/>
      <c r="GY621" s="3"/>
      <c r="GZ621" s="3"/>
      <c r="HA621" s="3"/>
      <c r="HB621" s="3"/>
      <c r="HC621" s="3"/>
      <c r="HD621" s="3"/>
      <c r="HE621" s="3"/>
      <c r="HF621" s="3"/>
      <c r="HG621" s="3"/>
      <c r="HH621" s="3"/>
      <c r="HI621" s="3"/>
      <c r="HJ621" s="3"/>
      <c r="HK621" s="3"/>
      <c r="HL621" s="3"/>
      <c r="HM621" s="3"/>
      <c r="HN621" s="3"/>
      <c r="HO621" s="3"/>
      <c r="HP621" s="3"/>
      <c r="HQ621" s="3"/>
      <c r="HR621" s="3"/>
      <c r="HS621" s="3"/>
      <c r="HT621" s="3"/>
    </row>
    <row r="622">
      <c r="A622" s="14"/>
      <c r="B622" s="3"/>
      <c r="C622" s="3"/>
      <c r="D622" s="3"/>
      <c r="E622" s="3"/>
      <c r="F622" s="5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7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D622" s="3"/>
      <c r="GE622" s="3"/>
      <c r="GF622" s="3"/>
      <c r="GG622" s="3"/>
      <c r="GH622" s="3"/>
      <c r="GI622" s="3"/>
      <c r="GJ622" s="3"/>
      <c r="GK622" s="3"/>
      <c r="GL622" s="3"/>
      <c r="GM622" s="3"/>
      <c r="GN622" s="3"/>
      <c r="GO622" s="3"/>
      <c r="GP622" s="3"/>
      <c r="GQ622" s="3"/>
      <c r="GR622" s="3"/>
      <c r="GS622" s="3"/>
      <c r="GT622" s="3"/>
      <c r="GU622" s="3"/>
      <c r="GV622" s="3"/>
      <c r="GW622" s="3"/>
      <c r="GX622" s="3"/>
      <c r="GY622" s="3"/>
      <c r="GZ622" s="3"/>
      <c r="HA622" s="3"/>
      <c r="HB622" s="3"/>
      <c r="HC622" s="3"/>
      <c r="HD622" s="3"/>
      <c r="HE622" s="3"/>
      <c r="HF622" s="3"/>
      <c r="HG622" s="3"/>
      <c r="HH622" s="3"/>
      <c r="HI622" s="3"/>
      <c r="HJ622" s="3"/>
      <c r="HK622" s="3"/>
      <c r="HL622" s="3"/>
      <c r="HM622" s="3"/>
      <c r="HN622" s="3"/>
      <c r="HO622" s="3"/>
      <c r="HP622" s="3"/>
      <c r="HQ622" s="3"/>
      <c r="HR622" s="3"/>
      <c r="HS622" s="3"/>
      <c r="HT622" s="3"/>
    </row>
    <row r="623">
      <c r="A623" s="14"/>
      <c r="B623" s="3"/>
      <c r="C623" s="3"/>
      <c r="D623" s="3"/>
      <c r="E623" s="3"/>
      <c r="F623" s="5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7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D623" s="3"/>
      <c r="GE623" s="3"/>
      <c r="GF623" s="3"/>
      <c r="GG623" s="3"/>
      <c r="GH623" s="3"/>
      <c r="GI623" s="3"/>
      <c r="GJ623" s="3"/>
      <c r="GK623" s="3"/>
      <c r="GL623" s="3"/>
      <c r="GM623" s="3"/>
      <c r="GN623" s="3"/>
      <c r="GO623" s="3"/>
      <c r="GP623" s="3"/>
      <c r="GQ623" s="3"/>
      <c r="GR623" s="3"/>
      <c r="GS623" s="3"/>
      <c r="GT623" s="3"/>
      <c r="GU623" s="3"/>
      <c r="GV623" s="3"/>
      <c r="GW623" s="3"/>
      <c r="GX623" s="3"/>
      <c r="GY623" s="3"/>
      <c r="GZ623" s="3"/>
      <c r="HA623" s="3"/>
      <c r="HB623" s="3"/>
      <c r="HC623" s="3"/>
      <c r="HD623" s="3"/>
      <c r="HE623" s="3"/>
      <c r="HF623" s="3"/>
      <c r="HG623" s="3"/>
      <c r="HH623" s="3"/>
      <c r="HI623" s="3"/>
      <c r="HJ623" s="3"/>
      <c r="HK623" s="3"/>
      <c r="HL623" s="3"/>
      <c r="HM623" s="3"/>
      <c r="HN623" s="3"/>
      <c r="HO623" s="3"/>
      <c r="HP623" s="3"/>
      <c r="HQ623" s="3"/>
      <c r="HR623" s="3"/>
      <c r="HS623" s="3"/>
      <c r="HT623" s="3"/>
    </row>
    <row r="624">
      <c r="A624" s="14"/>
      <c r="B624" s="3"/>
      <c r="C624" s="3"/>
      <c r="D624" s="3"/>
      <c r="E624" s="3"/>
      <c r="F624" s="5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7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D624" s="3"/>
      <c r="GE624" s="3"/>
      <c r="GF624" s="3"/>
      <c r="GG624" s="3"/>
      <c r="GH624" s="3"/>
      <c r="GI624" s="3"/>
      <c r="GJ624" s="3"/>
      <c r="GK624" s="3"/>
      <c r="GL624" s="3"/>
      <c r="GM624" s="3"/>
      <c r="GN624" s="3"/>
      <c r="GO624" s="3"/>
      <c r="GP624" s="3"/>
      <c r="GQ624" s="3"/>
      <c r="GR624" s="3"/>
      <c r="GS624" s="3"/>
      <c r="GT624" s="3"/>
      <c r="GU624" s="3"/>
      <c r="GV624" s="3"/>
      <c r="GW624" s="3"/>
      <c r="GX624" s="3"/>
      <c r="GY624" s="3"/>
      <c r="GZ624" s="3"/>
      <c r="HA624" s="3"/>
      <c r="HB624" s="3"/>
      <c r="HC624" s="3"/>
      <c r="HD624" s="3"/>
      <c r="HE624" s="3"/>
      <c r="HF624" s="3"/>
      <c r="HG624" s="3"/>
      <c r="HH624" s="3"/>
      <c r="HI624" s="3"/>
      <c r="HJ624" s="3"/>
      <c r="HK624" s="3"/>
      <c r="HL624" s="3"/>
      <c r="HM624" s="3"/>
      <c r="HN624" s="3"/>
      <c r="HO624" s="3"/>
      <c r="HP624" s="3"/>
      <c r="HQ624" s="3"/>
      <c r="HR624" s="3"/>
      <c r="HS624" s="3"/>
      <c r="HT624" s="3"/>
    </row>
    <row r="625">
      <c r="A625" s="14"/>
      <c r="B625" s="3"/>
      <c r="C625" s="3"/>
      <c r="D625" s="3"/>
      <c r="E625" s="3"/>
      <c r="F625" s="5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7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3"/>
      <c r="GG625" s="3"/>
      <c r="GH625" s="3"/>
      <c r="GI625" s="3"/>
      <c r="GJ625" s="3"/>
      <c r="GK625" s="3"/>
      <c r="GL625" s="3"/>
      <c r="GM625" s="3"/>
      <c r="GN625" s="3"/>
      <c r="GO625" s="3"/>
      <c r="GP625" s="3"/>
      <c r="GQ625" s="3"/>
      <c r="GR625" s="3"/>
      <c r="GS625" s="3"/>
      <c r="GT625" s="3"/>
      <c r="GU625" s="3"/>
      <c r="GV625" s="3"/>
      <c r="GW625" s="3"/>
      <c r="GX625" s="3"/>
      <c r="GY625" s="3"/>
      <c r="GZ625" s="3"/>
      <c r="HA625" s="3"/>
      <c r="HB625" s="3"/>
      <c r="HC625" s="3"/>
      <c r="HD625" s="3"/>
      <c r="HE625" s="3"/>
      <c r="HF625" s="3"/>
      <c r="HG625" s="3"/>
      <c r="HH625" s="3"/>
      <c r="HI625" s="3"/>
      <c r="HJ625" s="3"/>
      <c r="HK625" s="3"/>
      <c r="HL625" s="3"/>
      <c r="HM625" s="3"/>
      <c r="HN625" s="3"/>
      <c r="HO625" s="3"/>
      <c r="HP625" s="3"/>
      <c r="HQ625" s="3"/>
      <c r="HR625" s="3"/>
      <c r="HS625" s="3"/>
      <c r="HT625" s="3"/>
    </row>
    <row r="626">
      <c r="A626" s="14"/>
      <c r="B626" s="3"/>
      <c r="C626" s="3"/>
      <c r="D626" s="3"/>
      <c r="E626" s="3"/>
      <c r="F626" s="5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7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D626" s="3"/>
      <c r="GE626" s="3"/>
      <c r="GF626" s="3"/>
      <c r="GG626" s="3"/>
      <c r="GH626" s="3"/>
      <c r="GI626" s="3"/>
      <c r="GJ626" s="3"/>
      <c r="GK626" s="3"/>
      <c r="GL626" s="3"/>
      <c r="GM626" s="3"/>
      <c r="GN626" s="3"/>
      <c r="GO626" s="3"/>
      <c r="GP626" s="3"/>
      <c r="GQ626" s="3"/>
      <c r="GR626" s="3"/>
      <c r="GS626" s="3"/>
      <c r="GT626" s="3"/>
      <c r="GU626" s="3"/>
      <c r="GV626" s="3"/>
      <c r="GW626" s="3"/>
      <c r="GX626" s="3"/>
      <c r="GY626" s="3"/>
      <c r="GZ626" s="3"/>
      <c r="HA626" s="3"/>
      <c r="HB626" s="3"/>
      <c r="HC626" s="3"/>
      <c r="HD626" s="3"/>
      <c r="HE626" s="3"/>
      <c r="HF626" s="3"/>
      <c r="HG626" s="3"/>
      <c r="HH626" s="3"/>
      <c r="HI626" s="3"/>
      <c r="HJ626" s="3"/>
      <c r="HK626" s="3"/>
      <c r="HL626" s="3"/>
      <c r="HM626" s="3"/>
      <c r="HN626" s="3"/>
      <c r="HO626" s="3"/>
      <c r="HP626" s="3"/>
      <c r="HQ626" s="3"/>
      <c r="HR626" s="3"/>
      <c r="HS626" s="3"/>
      <c r="HT626" s="3"/>
    </row>
    <row r="627">
      <c r="A627" s="14"/>
      <c r="B627" s="3"/>
      <c r="C627" s="3"/>
      <c r="D627" s="3"/>
      <c r="E627" s="3"/>
      <c r="F627" s="5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7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3"/>
      <c r="GG627" s="3"/>
      <c r="GH627" s="3"/>
      <c r="GI627" s="3"/>
      <c r="GJ627" s="3"/>
      <c r="GK627" s="3"/>
      <c r="GL627" s="3"/>
      <c r="GM627" s="3"/>
      <c r="GN627" s="3"/>
      <c r="GO627" s="3"/>
      <c r="GP627" s="3"/>
      <c r="GQ627" s="3"/>
      <c r="GR627" s="3"/>
      <c r="GS627" s="3"/>
      <c r="GT627" s="3"/>
      <c r="GU627" s="3"/>
      <c r="GV627" s="3"/>
      <c r="GW627" s="3"/>
      <c r="GX627" s="3"/>
      <c r="GY627" s="3"/>
      <c r="GZ627" s="3"/>
      <c r="HA627" s="3"/>
      <c r="HB627" s="3"/>
      <c r="HC627" s="3"/>
      <c r="HD627" s="3"/>
      <c r="HE627" s="3"/>
      <c r="HF627" s="3"/>
      <c r="HG627" s="3"/>
      <c r="HH627" s="3"/>
      <c r="HI627" s="3"/>
      <c r="HJ627" s="3"/>
      <c r="HK627" s="3"/>
      <c r="HL627" s="3"/>
      <c r="HM627" s="3"/>
      <c r="HN627" s="3"/>
      <c r="HO627" s="3"/>
      <c r="HP627" s="3"/>
      <c r="HQ627" s="3"/>
      <c r="HR627" s="3"/>
      <c r="HS627" s="3"/>
      <c r="HT627" s="3"/>
    </row>
    <row r="628">
      <c r="A628" s="14"/>
      <c r="B628" s="3"/>
      <c r="C628" s="3"/>
      <c r="D628" s="3"/>
      <c r="E628" s="3"/>
      <c r="F628" s="5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7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  <c r="GH628" s="3"/>
      <c r="GI628" s="3"/>
      <c r="GJ628" s="3"/>
      <c r="GK628" s="3"/>
      <c r="GL628" s="3"/>
      <c r="GM628" s="3"/>
      <c r="GN628" s="3"/>
      <c r="GO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  <c r="GZ628" s="3"/>
      <c r="HA628" s="3"/>
      <c r="HB628" s="3"/>
      <c r="HC628" s="3"/>
      <c r="HD628" s="3"/>
      <c r="HE628" s="3"/>
      <c r="HF628" s="3"/>
      <c r="HG628" s="3"/>
      <c r="HH628" s="3"/>
      <c r="HI628" s="3"/>
      <c r="HJ628" s="3"/>
      <c r="HK628" s="3"/>
      <c r="HL628" s="3"/>
      <c r="HM628" s="3"/>
      <c r="HN628" s="3"/>
      <c r="HO628" s="3"/>
      <c r="HP628" s="3"/>
      <c r="HQ628" s="3"/>
      <c r="HR628" s="3"/>
      <c r="HS628" s="3"/>
      <c r="HT628" s="3"/>
    </row>
    <row r="629">
      <c r="A629" s="14"/>
      <c r="B629" s="3"/>
      <c r="C629" s="3"/>
      <c r="D629" s="3"/>
      <c r="E629" s="3"/>
      <c r="F629" s="5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7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3"/>
      <c r="GG629" s="3"/>
      <c r="GH629" s="3"/>
      <c r="GI629" s="3"/>
      <c r="GJ629" s="3"/>
      <c r="GK629" s="3"/>
      <c r="GL629" s="3"/>
      <c r="GM629" s="3"/>
      <c r="GN629" s="3"/>
      <c r="GO629" s="3"/>
      <c r="GP629" s="3"/>
      <c r="GQ629" s="3"/>
      <c r="GR629" s="3"/>
      <c r="GS629" s="3"/>
      <c r="GT629" s="3"/>
      <c r="GU629" s="3"/>
      <c r="GV629" s="3"/>
      <c r="GW629" s="3"/>
      <c r="GX629" s="3"/>
      <c r="GY629" s="3"/>
      <c r="GZ629" s="3"/>
      <c r="HA629" s="3"/>
      <c r="HB629" s="3"/>
      <c r="HC629" s="3"/>
      <c r="HD629" s="3"/>
      <c r="HE629" s="3"/>
      <c r="HF629" s="3"/>
      <c r="HG629" s="3"/>
      <c r="HH629" s="3"/>
      <c r="HI629" s="3"/>
      <c r="HJ629" s="3"/>
      <c r="HK629" s="3"/>
      <c r="HL629" s="3"/>
      <c r="HM629" s="3"/>
      <c r="HN629" s="3"/>
      <c r="HO629" s="3"/>
      <c r="HP629" s="3"/>
      <c r="HQ629" s="3"/>
      <c r="HR629" s="3"/>
      <c r="HS629" s="3"/>
      <c r="HT629" s="3"/>
    </row>
    <row r="630">
      <c r="A630" s="14"/>
      <c r="B630" s="3"/>
      <c r="C630" s="3"/>
      <c r="D630" s="3"/>
      <c r="E630" s="3"/>
      <c r="F630" s="5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7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3"/>
      <c r="GG630" s="3"/>
      <c r="GH630" s="3"/>
      <c r="GI630" s="3"/>
      <c r="GJ630" s="3"/>
      <c r="GK630" s="3"/>
      <c r="GL630" s="3"/>
      <c r="GM630" s="3"/>
      <c r="GN630" s="3"/>
      <c r="GO630" s="3"/>
      <c r="GP630" s="3"/>
      <c r="GQ630" s="3"/>
      <c r="GR630" s="3"/>
      <c r="GS630" s="3"/>
      <c r="GT630" s="3"/>
      <c r="GU630" s="3"/>
      <c r="GV630" s="3"/>
      <c r="GW630" s="3"/>
      <c r="GX630" s="3"/>
      <c r="GY630" s="3"/>
      <c r="GZ630" s="3"/>
      <c r="HA630" s="3"/>
      <c r="HB630" s="3"/>
      <c r="HC630" s="3"/>
      <c r="HD630" s="3"/>
      <c r="HE630" s="3"/>
      <c r="HF630" s="3"/>
      <c r="HG630" s="3"/>
      <c r="HH630" s="3"/>
      <c r="HI630" s="3"/>
      <c r="HJ630" s="3"/>
      <c r="HK630" s="3"/>
      <c r="HL630" s="3"/>
      <c r="HM630" s="3"/>
      <c r="HN630" s="3"/>
      <c r="HO630" s="3"/>
      <c r="HP630" s="3"/>
      <c r="HQ630" s="3"/>
      <c r="HR630" s="3"/>
      <c r="HS630" s="3"/>
      <c r="HT630" s="3"/>
    </row>
    <row r="631">
      <c r="A631" s="14"/>
      <c r="B631" s="3"/>
      <c r="C631" s="3"/>
      <c r="D631" s="3"/>
      <c r="E631" s="3"/>
      <c r="F631" s="5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7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  <c r="GZ631" s="3"/>
      <c r="HA631" s="3"/>
      <c r="HB631" s="3"/>
      <c r="HC631" s="3"/>
      <c r="HD631" s="3"/>
      <c r="HE631" s="3"/>
      <c r="HF631" s="3"/>
      <c r="HG631" s="3"/>
      <c r="HH631" s="3"/>
      <c r="HI631" s="3"/>
      <c r="HJ631" s="3"/>
      <c r="HK631" s="3"/>
      <c r="HL631" s="3"/>
      <c r="HM631" s="3"/>
      <c r="HN631" s="3"/>
      <c r="HO631" s="3"/>
      <c r="HP631" s="3"/>
      <c r="HQ631" s="3"/>
      <c r="HR631" s="3"/>
      <c r="HS631" s="3"/>
      <c r="HT631" s="3"/>
    </row>
    <row r="632">
      <c r="A632" s="14"/>
      <c r="B632" s="3"/>
      <c r="C632" s="3"/>
      <c r="D632" s="3"/>
      <c r="E632" s="3"/>
      <c r="F632" s="5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7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D632" s="3"/>
      <c r="GE632" s="3"/>
      <c r="GF632" s="3"/>
      <c r="GG632" s="3"/>
      <c r="GH632" s="3"/>
      <c r="GI632" s="3"/>
      <c r="GJ632" s="3"/>
      <c r="GK632" s="3"/>
      <c r="GL632" s="3"/>
      <c r="GM632" s="3"/>
      <c r="GN632" s="3"/>
      <c r="GO632" s="3"/>
      <c r="GP632" s="3"/>
      <c r="GQ632" s="3"/>
      <c r="GR632" s="3"/>
      <c r="GS632" s="3"/>
      <c r="GT632" s="3"/>
      <c r="GU632" s="3"/>
      <c r="GV632" s="3"/>
      <c r="GW632" s="3"/>
      <c r="GX632" s="3"/>
      <c r="GY632" s="3"/>
      <c r="GZ632" s="3"/>
      <c r="HA632" s="3"/>
      <c r="HB632" s="3"/>
      <c r="HC632" s="3"/>
      <c r="HD632" s="3"/>
      <c r="HE632" s="3"/>
      <c r="HF632" s="3"/>
      <c r="HG632" s="3"/>
      <c r="HH632" s="3"/>
      <c r="HI632" s="3"/>
      <c r="HJ632" s="3"/>
      <c r="HK632" s="3"/>
      <c r="HL632" s="3"/>
      <c r="HM632" s="3"/>
      <c r="HN632" s="3"/>
      <c r="HO632" s="3"/>
      <c r="HP632" s="3"/>
      <c r="HQ632" s="3"/>
      <c r="HR632" s="3"/>
      <c r="HS632" s="3"/>
      <c r="HT632" s="3"/>
    </row>
    <row r="633">
      <c r="A633" s="14"/>
      <c r="B633" s="3"/>
      <c r="C633" s="3"/>
      <c r="D633" s="3"/>
      <c r="E633" s="3"/>
      <c r="F633" s="5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7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D633" s="3"/>
      <c r="GE633" s="3"/>
      <c r="GF633" s="3"/>
      <c r="GG633" s="3"/>
      <c r="GH633" s="3"/>
      <c r="GI633" s="3"/>
      <c r="GJ633" s="3"/>
      <c r="GK633" s="3"/>
      <c r="GL633" s="3"/>
      <c r="GM633" s="3"/>
      <c r="GN633" s="3"/>
      <c r="GO633" s="3"/>
      <c r="GP633" s="3"/>
      <c r="GQ633" s="3"/>
      <c r="GR633" s="3"/>
      <c r="GS633" s="3"/>
      <c r="GT633" s="3"/>
      <c r="GU633" s="3"/>
      <c r="GV633" s="3"/>
      <c r="GW633" s="3"/>
      <c r="GX633" s="3"/>
      <c r="GY633" s="3"/>
      <c r="GZ633" s="3"/>
      <c r="HA633" s="3"/>
      <c r="HB633" s="3"/>
      <c r="HC633" s="3"/>
      <c r="HD633" s="3"/>
      <c r="HE633" s="3"/>
      <c r="HF633" s="3"/>
      <c r="HG633" s="3"/>
      <c r="HH633" s="3"/>
      <c r="HI633" s="3"/>
      <c r="HJ633" s="3"/>
      <c r="HK633" s="3"/>
      <c r="HL633" s="3"/>
      <c r="HM633" s="3"/>
      <c r="HN633" s="3"/>
      <c r="HO633" s="3"/>
      <c r="HP633" s="3"/>
      <c r="HQ633" s="3"/>
      <c r="HR633" s="3"/>
      <c r="HS633" s="3"/>
      <c r="HT633" s="3"/>
    </row>
    <row r="634">
      <c r="A634" s="14"/>
      <c r="B634" s="3"/>
      <c r="C634" s="3"/>
      <c r="D634" s="3"/>
      <c r="E634" s="3"/>
      <c r="F634" s="5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7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3"/>
      <c r="GG634" s="3"/>
      <c r="GH634" s="3"/>
      <c r="GI634" s="3"/>
      <c r="GJ634" s="3"/>
      <c r="GK634" s="3"/>
      <c r="GL634" s="3"/>
      <c r="GM634" s="3"/>
      <c r="GN634" s="3"/>
      <c r="GO634" s="3"/>
      <c r="GP634" s="3"/>
      <c r="GQ634" s="3"/>
      <c r="GR634" s="3"/>
      <c r="GS634" s="3"/>
      <c r="GT634" s="3"/>
      <c r="GU634" s="3"/>
      <c r="GV634" s="3"/>
      <c r="GW634" s="3"/>
      <c r="GX634" s="3"/>
      <c r="GY634" s="3"/>
      <c r="GZ634" s="3"/>
      <c r="HA634" s="3"/>
      <c r="HB634" s="3"/>
      <c r="HC634" s="3"/>
      <c r="HD634" s="3"/>
      <c r="HE634" s="3"/>
      <c r="HF634" s="3"/>
      <c r="HG634" s="3"/>
      <c r="HH634" s="3"/>
      <c r="HI634" s="3"/>
      <c r="HJ634" s="3"/>
      <c r="HK634" s="3"/>
      <c r="HL634" s="3"/>
      <c r="HM634" s="3"/>
      <c r="HN634" s="3"/>
      <c r="HO634" s="3"/>
      <c r="HP634" s="3"/>
      <c r="HQ634" s="3"/>
      <c r="HR634" s="3"/>
      <c r="HS634" s="3"/>
      <c r="HT634" s="3"/>
    </row>
    <row r="635">
      <c r="A635" s="14"/>
      <c r="B635" s="3"/>
      <c r="C635" s="3"/>
      <c r="D635" s="3"/>
      <c r="E635" s="3"/>
      <c r="F635" s="5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7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  <c r="GH635" s="3"/>
      <c r="GI635" s="3"/>
      <c r="GJ635" s="3"/>
      <c r="GK635" s="3"/>
      <c r="GL635" s="3"/>
      <c r="GM635" s="3"/>
      <c r="GN635" s="3"/>
      <c r="GO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  <c r="GZ635" s="3"/>
      <c r="HA635" s="3"/>
      <c r="HB635" s="3"/>
      <c r="HC635" s="3"/>
      <c r="HD635" s="3"/>
      <c r="HE635" s="3"/>
      <c r="HF635" s="3"/>
      <c r="HG635" s="3"/>
      <c r="HH635" s="3"/>
      <c r="HI635" s="3"/>
      <c r="HJ635" s="3"/>
      <c r="HK635" s="3"/>
      <c r="HL635" s="3"/>
      <c r="HM635" s="3"/>
      <c r="HN635" s="3"/>
      <c r="HO635" s="3"/>
      <c r="HP635" s="3"/>
      <c r="HQ635" s="3"/>
      <c r="HR635" s="3"/>
      <c r="HS635" s="3"/>
      <c r="HT635" s="3"/>
    </row>
    <row r="636">
      <c r="A636" s="14"/>
      <c r="B636" s="3"/>
      <c r="C636" s="3"/>
      <c r="D636" s="3"/>
      <c r="E636" s="3"/>
      <c r="F636" s="5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7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3"/>
      <c r="GG636" s="3"/>
      <c r="GH636" s="3"/>
      <c r="GI636" s="3"/>
      <c r="GJ636" s="3"/>
      <c r="GK636" s="3"/>
      <c r="GL636" s="3"/>
      <c r="GM636" s="3"/>
      <c r="GN636" s="3"/>
      <c r="GO636" s="3"/>
      <c r="GP636" s="3"/>
      <c r="GQ636" s="3"/>
      <c r="GR636" s="3"/>
      <c r="GS636" s="3"/>
      <c r="GT636" s="3"/>
      <c r="GU636" s="3"/>
      <c r="GV636" s="3"/>
      <c r="GW636" s="3"/>
      <c r="GX636" s="3"/>
      <c r="GY636" s="3"/>
      <c r="GZ636" s="3"/>
      <c r="HA636" s="3"/>
      <c r="HB636" s="3"/>
      <c r="HC636" s="3"/>
      <c r="HD636" s="3"/>
      <c r="HE636" s="3"/>
      <c r="HF636" s="3"/>
      <c r="HG636" s="3"/>
      <c r="HH636" s="3"/>
      <c r="HI636" s="3"/>
      <c r="HJ636" s="3"/>
      <c r="HK636" s="3"/>
      <c r="HL636" s="3"/>
      <c r="HM636" s="3"/>
      <c r="HN636" s="3"/>
      <c r="HO636" s="3"/>
      <c r="HP636" s="3"/>
      <c r="HQ636" s="3"/>
      <c r="HR636" s="3"/>
      <c r="HS636" s="3"/>
      <c r="HT636" s="3"/>
    </row>
    <row r="637">
      <c r="A637" s="14"/>
      <c r="B637" s="3"/>
      <c r="C637" s="3"/>
      <c r="D637" s="3"/>
      <c r="E637" s="3"/>
      <c r="F637" s="5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7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3"/>
      <c r="GG637" s="3"/>
      <c r="GH637" s="3"/>
      <c r="GI637" s="3"/>
      <c r="GJ637" s="3"/>
      <c r="GK637" s="3"/>
      <c r="GL637" s="3"/>
      <c r="GM637" s="3"/>
      <c r="GN637" s="3"/>
      <c r="GO637" s="3"/>
      <c r="GP637" s="3"/>
      <c r="GQ637" s="3"/>
      <c r="GR637" s="3"/>
      <c r="GS637" s="3"/>
      <c r="GT637" s="3"/>
      <c r="GU637" s="3"/>
      <c r="GV637" s="3"/>
      <c r="GW637" s="3"/>
      <c r="GX637" s="3"/>
      <c r="GY637" s="3"/>
      <c r="GZ637" s="3"/>
      <c r="HA637" s="3"/>
      <c r="HB637" s="3"/>
      <c r="HC637" s="3"/>
      <c r="HD637" s="3"/>
      <c r="HE637" s="3"/>
      <c r="HF637" s="3"/>
      <c r="HG637" s="3"/>
      <c r="HH637" s="3"/>
      <c r="HI637" s="3"/>
      <c r="HJ637" s="3"/>
      <c r="HK637" s="3"/>
      <c r="HL637" s="3"/>
      <c r="HM637" s="3"/>
      <c r="HN637" s="3"/>
      <c r="HO637" s="3"/>
      <c r="HP637" s="3"/>
      <c r="HQ637" s="3"/>
      <c r="HR637" s="3"/>
      <c r="HS637" s="3"/>
      <c r="HT637" s="3"/>
    </row>
    <row r="638">
      <c r="A638" s="14"/>
      <c r="B638" s="3"/>
      <c r="C638" s="3"/>
      <c r="D638" s="3"/>
      <c r="E638" s="3"/>
      <c r="F638" s="5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7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D638" s="3"/>
      <c r="GE638" s="3"/>
      <c r="GF638" s="3"/>
      <c r="GG638" s="3"/>
      <c r="GH638" s="3"/>
      <c r="GI638" s="3"/>
      <c r="GJ638" s="3"/>
      <c r="GK638" s="3"/>
      <c r="GL638" s="3"/>
      <c r="GM638" s="3"/>
      <c r="GN638" s="3"/>
      <c r="GO638" s="3"/>
      <c r="GP638" s="3"/>
      <c r="GQ638" s="3"/>
      <c r="GR638" s="3"/>
      <c r="GS638" s="3"/>
      <c r="GT638" s="3"/>
      <c r="GU638" s="3"/>
      <c r="GV638" s="3"/>
      <c r="GW638" s="3"/>
      <c r="GX638" s="3"/>
      <c r="GY638" s="3"/>
      <c r="GZ638" s="3"/>
      <c r="HA638" s="3"/>
      <c r="HB638" s="3"/>
      <c r="HC638" s="3"/>
      <c r="HD638" s="3"/>
      <c r="HE638" s="3"/>
      <c r="HF638" s="3"/>
      <c r="HG638" s="3"/>
      <c r="HH638" s="3"/>
      <c r="HI638" s="3"/>
      <c r="HJ638" s="3"/>
      <c r="HK638" s="3"/>
      <c r="HL638" s="3"/>
      <c r="HM638" s="3"/>
      <c r="HN638" s="3"/>
      <c r="HO638" s="3"/>
      <c r="HP638" s="3"/>
      <c r="HQ638" s="3"/>
      <c r="HR638" s="3"/>
      <c r="HS638" s="3"/>
      <c r="HT638" s="3"/>
    </row>
    <row r="639">
      <c r="A639" s="14"/>
      <c r="B639" s="3"/>
      <c r="C639" s="3"/>
      <c r="D639" s="3"/>
      <c r="E639" s="3"/>
      <c r="F639" s="5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7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  <c r="GH639" s="3"/>
      <c r="GI639" s="3"/>
      <c r="GJ639" s="3"/>
      <c r="GK639" s="3"/>
      <c r="GL639" s="3"/>
      <c r="GM639" s="3"/>
      <c r="GN639" s="3"/>
      <c r="GO639" s="3"/>
      <c r="GP639" s="3"/>
      <c r="GQ639" s="3"/>
      <c r="GR639" s="3"/>
      <c r="GS639" s="3"/>
      <c r="GT639" s="3"/>
      <c r="GU639" s="3"/>
      <c r="GV639" s="3"/>
      <c r="GW639" s="3"/>
      <c r="GX639" s="3"/>
      <c r="GY639" s="3"/>
      <c r="GZ639" s="3"/>
      <c r="HA639" s="3"/>
      <c r="HB639" s="3"/>
      <c r="HC639" s="3"/>
      <c r="HD639" s="3"/>
      <c r="HE639" s="3"/>
      <c r="HF639" s="3"/>
      <c r="HG639" s="3"/>
      <c r="HH639" s="3"/>
      <c r="HI639" s="3"/>
      <c r="HJ639" s="3"/>
      <c r="HK639" s="3"/>
      <c r="HL639" s="3"/>
      <c r="HM639" s="3"/>
      <c r="HN639" s="3"/>
      <c r="HO639" s="3"/>
      <c r="HP639" s="3"/>
      <c r="HQ639" s="3"/>
      <c r="HR639" s="3"/>
      <c r="HS639" s="3"/>
      <c r="HT639" s="3"/>
    </row>
    <row r="640">
      <c r="A640" s="14"/>
      <c r="B640" s="3"/>
      <c r="C640" s="3"/>
      <c r="D640" s="3"/>
      <c r="E640" s="3"/>
      <c r="F640" s="5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7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3"/>
      <c r="GG640" s="3"/>
      <c r="GH640" s="3"/>
      <c r="GI640" s="3"/>
      <c r="GJ640" s="3"/>
      <c r="GK640" s="3"/>
      <c r="GL640" s="3"/>
      <c r="GM640" s="3"/>
      <c r="GN640" s="3"/>
      <c r="GO640" s="3"/>
      <c r="GP640" s="3"/>
      <c r="GQ640" s="3"/>
      <c r="GR640" s="3"/>
      <c r="GS640" s="3"/>
      <c r="GT640" s="3"/>
      <c r="GU640" s="3"/>
      <c r="GV640" s="3"/>
      <c r="GW640" s="3"/>
      <c r="GX640" s="3"/>
      <c r="GY640" s="3"/>
      <c r="GZ640" s="3"/>
      <c r="HA640" s="3"/>
      <c r="HB640" s="3"/>
      <c r="HC640" s="3"/>
      <c r="HD640" s="3"/>
      <c r="HE640" s="3"/>
      <c r="HF640" s="3"/>
      <c r="HG640" s="3"/>
      <c r="HH640" s="3"/>
      <c r="HI640" s="3"/>
      <c r="HJ640" s="3"/>
      <c r="HK640" s="3"/>
      <c r="HL640" s="3"/>
      <c r="HM640" s="3"/>
      <c r="HN640" s="3"/>
      <c r="HO640" s="3"/>
      <c r="HP640" s="3"/>
      <c r="HQ640" s="3"/>
      <c r="HR640" s="3"/>
      <c r="HS640" s="3"/>
      <c r="HT640" s="3"/>
    </row>
    <row r="641">
      <c r="A641" s="14"/>
      <c r="B641" s="3"/>
      <c r="C641" s="3"/>
      <c r="D641" s="3"/>
      <c r="E641" s="3"/>
      <c r="F641" s="5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7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3"/>
      <c r="GG641" s="3"/>
      <c r="GH641" s="3"/>
      <c r="GI641" s="3"/>
      <c r="GJ641" s="3"/>
      <c r="GK641" s="3"/>
      <c r="GL641" s="3"/>
      <c r="GM641" s="3"/>
      <c r="GN641" s="3"/>
      <c r="GO641" s="3"/>
      <c r="GP641" s="3"/>
      <c r="GQ641" s="3"/>
      <c r="GR641" s="3"/>
      <c r="GS641" s="3"/>
      <c r="GT641" s="3"/>
      <c r="GU641" s="3"/>
      <c r="GV641" s="3"/>
      <c r="GW641" s="3"/>
      <c r="GX641" s="3"/>
      <c r="GY641" s="3"/>
      <c r="GZ641" s="3"/>
      <c r="HA641" s="3"/>
      <c r="HB641" s="3"/>
      <c r="HC641" s="3"/>
      <c r="HD641" s="3"/>
      <c r="HE641" s="3"/>
      <c r="HF641" s="3"/>
      <c r="HG641" s="3"/>
      <c r="HH641" s="3"/>
      <c r="HI641" s="3"/>
      <c r="HJ641" s="3"/>
      <c r="HK641" s="3"/>
      <c r="HL641" s="3"/>
      <c r="HM641" s="3"/>
      <c r="HN641" s="3"/>
      <c r="HO641" s="3"/>
      <c r="HP641" s="3"/>
      <c r="HQ641" s="3"/>
      <c r="HR641" s="3"/>
      <c r="HS641" s="3"/>
      <c r="HT641" s="3"/>
    </row>
    <row r="642">
      <c r="A642" s="14"/>
      <c r="B642" s="3"/>
      <c r="C642" s="3"/>
      <c r="D642" s="3"/>
      <c r="E642" s="3"/>
      <c r="F642" s="5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7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D642" s="3"/>
      <c r="GE642" s="3"/>
      <c r="GF642" s="3"/>
      <c r="GG642" s="3"/>
      <c r="GH642" s="3"/>
      <c r="GI642" s="3"/>
      <c r="GJ642" s="3"/>
      <c r="GK642" s="3"/>
      <c r="GL642" s="3"/>
      <c r="GM642" s="3"/>
      <c r="GN642" s="3"/>
      <c r="GO642" s="3"/>
      <c r="GP642" s="3"/>
      <c r="GQ642" s="3"/>
      <c r="GR642" s="3"/>
      <c r="GS642" s="3"/>
      <c r="GT642" s="3"/>
      <c r="GU642" s="3"/>
      <c r="GV642" s="3"/>
      <c r="GW642" s="3"/>
      <c r="GX642" s="3"/>
      <c r="GY642" s="3"/>
      <c r="GZ642" s="3"/>
      <c r="HA642" s="3"/>
      <c r="HB642" s="3"/>
      <c r="HC642" s="3"/>
      <c r="HD642" s="3"/>
      <c r="HE642" s="3"/>
      <c r="HF642" s="3"/>
      <c r="HG642" s="3"/>
      <c r="HH642" s="3"/>
      <c r="HI642" s="3"/>
      <c r="HJ642" s="3"/>
      <c r="HK642" s="3"/>
      <c r="HL642" s="3"/>
      <c r="HM642" s="3"/>
      <c r="HN642" s="3"/>
      <c r="HO642" s="3"/>
      <c r="HP642" s="3"/>
      <c r="HQ642" s="3"/>
      <c r="HR642" s="3"/>
      <c r="HS642" s="3"/>
      <c r="HT642" s="3"/>
    </row>
    <row r="643">
      <c r="A643" s="14"/>
      <c r="B643" s="3"/>
      <c r="C643" s="3"/>
      <c r="D643" s="3"/>
      <c r="E643" s="3"/>
      <c r="F643" s="5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7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D643" s="3"/>
      <c r="GE643" s="3"/>
      <c r="GF643" s="3"/>
      <c r="GG643" s="3"/>
      <c r="GH643" s="3"/>
      <c r="GI643" s="3"/>
      <c r="GJ643" s="3"/>
      <c r="GK643" s="3"/>
      <c r="GL643" s="3"/>
      <c r="GM643" s="3"/>
      <c r="GN643" s="3"/>
      <c r="GO643" s="3"/>
      <c r="GP643" s="3"/>
      <c r="GQ643" s="3"/>
      <c r="GR643" s="3"/>
      <c r="GS643" s="3"/>
      <c r="GT643" s="3"/>
      <c r="GU643" s="3"/>
      <c r="GV643" s="3"/>
      <c r="GW643" s="3"/>
      <c r="GX643" s="3"/>
      <c r="GY643" s="3"/>
      <c r="GZ643" s="3"/>
      <c r="HA643" s="3"/>
      <c r="HB643" s="3"/>
      <c r="HC643" s="3"/>
      <c r="HD643" s="3"/>
      <c r="HE643" s="3"/>
      <c r="HF643" s="3"/>
      <c r="HG643" s="3"/>
      <c r="HH643" s="3"/>
      <c r="HI643" s="3"/>
      <c r="HJ643" s="3"/>
      <c r="HK643" s="3"/>
      <c r="HL643" s="3"/>
      <c r="HM643" s="3"/>
      <c r="HN643" s="3"/>
      <c r="HO643" s="3"/>
      <c r="HP643" s="3"/>
      <c r="HQ643" s="3"/>
      <c r="HR643" s="3"/>
      <c r="HS643" s="3"/>
      <c r="HT643" s="3"/>
    </row>
    <row r="644">
      <c r="A644" s="14"/>
      <c r="B644" s="3"/>
      <c r="C644" s="3"/>
      <c r="D644" s="3"/>
      <c r="E644" s="3"/>
      <c r="F644" s="5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7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  <c r="GJ644" s="3"/>
      <c r="GK644" s="3"/>
      <c r="GL644" s="3"/>
      <c r="GM644" s="3"/>
      <c r="GN644" s="3"/>
      <c r="GO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  <c r="GZ644" s="3"/>
      <c r="HA644" s="3"/>
      <c r="HB644" s="3"/>
      <c r="HC644" s="3"/>
      <c r="HD644" s="3"/>
      <c r="HE644" s="3"/>
      <c r="HF644" s="3"/>
      <c r="HG644" s="3"/>
      <c r="HH644" s="3"/>
      <c r="HI644" s="3"/>
      <c r="HJ644" s="3"/>
      <c r="HK644" s="3"/>
      <c r="HL644" s="3"/>
      <c r="HM644" s="3"/>
      <c r="HN644" s="3"/>
      <c r="HO644" s="3"/>
      <c r="HP644" s="3"/>
      <c r="HQ644" s="3"/>
      <c r="HR644" s="3"/>
      <c r="HS644" s="3"/>
      <c r="HT644" s="3"/>
    </row>
    <row r="645">
      <c r="A645" s="14"/>
      <c r="B645" s="3"/>
      <c r="C645" s="3"/>
      <c r="D645" s="3"/>
      <c r="E645" s="3"/>
      <c r="F645" s="5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7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  <c r="GH645" s="3"/>
      <c r="GI645" s="3"/>
      <c r="GJ645" s="3"/>
      <c r="GK645" s="3"/>
      <c r="GL645" s="3"/>
      <c r="GM645" s="3"/>
      <c r="GN645" s="3"/>
      <c r="GO645" s="3"/>
      <c r="GP645" s="3"/>
      <c r="GQ645" s="3"/>
      <c r="GR645" s="3"/>
      <c r="GS645" s="3"/>
      <c r="GT645" s="3"/>
      <c r="GU645" s="3"/>
      <c r="GV645" s="3"/>
      <c r="GW645" s="3"/>
      <c r="GX645" s="3"/>
      <c r="GY645" s="3"/>
      <c r="GZ645" s="3"/>
      <c r="HA645" s="3"/>
      <c r="HB645" s="3"/>
      <c r="HC645" s="3"/>
      <c r="HD645" s="3"/>
      <c r="HE645" s="3"/>
      <c r="HF645" s="3"/>
      <c r="HG645" s="3"/>
      <c r="HH645" s="3"/>
      <c r="HI645" s="3"/>
      <c r="HJ645" s="3"/>
      <c r="HK645" s="3"/>
      <c r="HL645" s="3"/>
      <c r="HM645" s="3"/>
      <c r="HN645" s="3"/>
      <c r="HO645" s="3"/>
      <c r="HP645" s="3"/>
      <c r="HQ645" s="3"/>
      <c r="HR645" s="3"/>
      <c r="HS645" s="3"/>
      <c r="HT645" s="3"/>
    </row>
    <row r="646">
      <c r="A646" s="14"/>
      <c r="B646" s="3"/>
      <c r="C646" s="3"/>
      <c r="D646" s="3"/>
      <c r="E646" s="3"/>
      <c r="F646" s="5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7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  <c r="GH646" s="3"/>
      <c r="GI646" s="3"/>
      <c r="GJ646" s="3"/>
      <c r="GK646" s="3"/>
      <c r="GL646" s="3"/>
      <c r="GM646" s="3"/>
      <c r="GN646" s="3"/>
      <c r="GO646" s="3"/>
      <c r="GP646" s="3"/>
      <c r="GQ646" s="3"/>
      <c r="GR646" s="3"/>
      <c r="GS646" s="3"/>
      <c r="GT646" s="3"/>
      <c r="GU646" s="3"/>
      <c r="GV646" s="3"/>
      <c r="GW646" s="3"/>
      <c r="GX646" s="3"/>
      <c r="GY646" s="3"/>
      <c r="GZ646" s="3"/>
      <c r="HA646" s="3"/>
      <c r="HB646" s="3"/>
      <c r="HC646" s="3"/>
      <c r="HD646" s="3"/>
      <c r="HE646" s="3"/>
      <c r="HF646" s="3"/>
      <c r="HG646" s="3"/>
      <c r="HH646" s="3"/>
      <c r="HI646" s="3"/>
      <c r="HJ646" s="3"/>
      <c r="HK646" s="3"/>
      <c r="HL646" s="3"/>
      <c r="HM646" s="3"/>
      <c r="HN646" s="3"/>
      <c r="HO646" s="3"/>
      <c r="HP646" s="3"/>
      <c r="HQ646" s="3"/>
      <c r="HR646" s="3"/>
      <c r="HS646" s="3"/>
      <c r="HT646" s="3"/>
    </row>
    <row r="647">
      <c r="A647" s="14"/>
      <c r="B647" s="3"/>
      <c r="C647" s="3"/>
      <c r="D647" s="3"/>
      <c r="E647" s="3"/>
      <c r="F647" s="5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7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  <c r="GH647" s="3"/>
      <c r="GI647" s="3"/>
      <c r="GJ647" s="3"/>
      <c r="GK647" s="3"/>
      <c r="GL647" s="3"/>
      <c r="GM647" s="3"/>
      <c r="GN647" s="3"/>
      <c r="GO647" s="3"/>
      <c r="GP647" s="3"/>
      <c r="GQ647" s="3"/>
      <c r="GR647" s="3"/>
      <c r="GS647" s="3"/>
      <c r="GT647" s="3"/>
      <c r="GU647" s="3"/>
      <c r="GV647" s="3"/>
      <c r="GW647" s="3"/>
      <c r="GX647" s="3"/>
      <c r="GY647" s="3"/>
      <c r="GZ647" s="3"/>
      <c r="HA647" s="3"/>
      <c r="HB647" s="3"/>
      <c r="HC647" s="3"/>
      <c r="HD647" s="3"/>
      <c r="HE647" s="3"/>
      <c r="HF647" s="3"/>
      <c r="HG647" s="3"/>
      <c r="HH647" s="3"/>
      <c r="HI647" s="3"/>
      <c r="HJ647" s="3"/>
      <c r="HK647" s="3"/>
      <c r="HL647" s="3"/>
      <c r="HM647" s="3"/>
      <c r="HN647" s="3"/>
      <c r="HO647" s="3"/>
      <c r="HP647" s="3"/>
      <c r="HQ647" s="3"/>
      <c r="HR647" s="3"/>
      <c r="HS647" s="3"/>
      <c r="HT647" s="3"/>
    </row>
    <row r="648">
      <c r="A648" s="14"/>
      <c r="B648" s="3"/>
      <c r="C648" s="3"/>
      <c r="D648" s="3"/>
      <c r="E648" s="3"/>
      <c r="F648" s="5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7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  <c r="GJ648" s="3"/>
      <c r="GK648" s="3"/>
      <c r="GL648" s="3"/>
      <c r="GM648" s="3"/>
      <c r="GN648" s="3"/>
      <c r="GO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  <c r="GZ648" s="3"/>
      <c r="HA648" s="3"/>
      <c r="HB648" s="3"/>
      <c r="HC648" s="3"/>
      <c r="HD648" s="3"/>
      <c r="HE648" s="3"/>
      <c r="HF648" s="3"/>
      <c r="HG648" s="3"/>
      <c r="HH648" s="3"/>
      <c r="HI648" s="3"/>
      <c r="HJ648" s="3"/>
      <c r="HK648" s="3"/>
      <c r="HL648" s="3"/>
      <c r="HM648" s="3"/>
      <c r="HN648" s="3"/>
      <c r="HO648" s="3"/>
      <c r="HP648" s="3"/>
      <c r="HQ648" s="3"/>
      <c r="HR648" s="3"/>
      <c r="HS648" s="3"/>
      <c r="HT648" s="3"/>
    </row>
    <row r="649">
      <c r="A649" s="14"/>
      <c r="B649" s="3"/>
      <c r="C649" s="3"/>
      <c r="D649" s="3"/>
      <c r="E649" s="3"/>
      <c r="F649" s="5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7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  <c r="GJ649" s="3"/>
      <c r="GK649" s="3"/>
      <c r="GL649" s="3"/>
      <c r="GM649" s="3"/>
      <c r="GN649" s="3"/>
      <c r="GO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  <c r="GZ649" s="3"/>
      <c r="HA649" s="3"/>
      <c r="HB649" s="3"/>
      <c r="HC649" s="3"/>
      <c r="HD649" s="3"/>
      <c r="HE649" s="3"/>
      <c r="HF649" s="3"/>
      <c r="HG649" s="3"/>
      <c r="HH649" s="3"/>
      <c r="HI649" s="3"/>
      <c r="HJ649" s="3"/>
      <c r="HK649" s="3"/>
      <c r="HL649" s="3"/>
      <c r="HM649" s="3"/>
      <c r="HN649" s="3"/>
      <c r="HO649" s="3"/>
      <c r="HP649" s="3"/>
      <c r="HQ649" s="3"/>
      <c r="HR649" s="3"/>
      <c r="HS649" s="3"/>
      <c r="HT649" s="3"/>
    </row>
    <row r="650">
      <c r="A650" s="14"/>
      <c r="B650" s="3"/>
      <c r="C650" s="3"/>
      <c r="D650" s="3"/>
      <c r="E650" s="3"/>
      <c r="F650" s="5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7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D650" s="3"/>
      <c r="GE650" s="3"/>
      <c r="GF650" s="3"/>
      <c r="GG650" s="3"/>
      <c r="GH650" s="3"/>
      <c r="GI650" s="3"/>
      <c r="GJ650" s="3"/>
      <c r="GK650" s="3"/>
      <c r="GL650" s="3"/>
      <c r="GM650" s="3"/>
      <c r="GN650" s="3"/>
      <c r="GO650" s="3"/>
      <c r="GP650" s="3"/>
      <c r="GQ650" s="3"/>
      <c r="GR650" s="3"/>
      <c r="GS650" s="3"/>
      <c r="GT650" s="3"/>
      <c r="GU650" s="3"/>
      <c r="GV650" s="3"/>
      <c r="GW650" s="3"/>
      <c r="GX650" s="3"/>
      <c r="GY650" s="3"/>
      <c r="GZ650" s="3"/>
      <c r="HA650" s="3"/>
      <c r="HB650" s="3"/>
      <c r="HC650" s="3"/>
      <c r="HD650" s="3"/>
      <c r="HE650" s="3"/>
      <c r="HF650" s="3"/>
      <c r="HG650" s="3"/>
      <c r="HH650" s="3"/>
      <c r="HI650" s="3"/>
      <c r="HJ650" s="3"/>
      <c r="HK650" s="3"/>
      <c r="HL650" s="3"/>
      <c r="HM650" s="3"/>
      <c r="HN650" s="3"/>
      <c r="HO650" s="3"/>
      <c r="HP650" s="3"/>
      <c r="HQ650" s="3"/>
      <c r="HR650" s="3"/>
      <c r="HS650" s="3"/>
      <c r="HT650" s="3"/>
    </row>
    <row r="651">
      <c r="A651" s="14"/>
      <c r="B651" s="3"/>
      <c r="C651" s="3"/>
      <c r="D651" s="3"/>
      <c r="E651" s="3"/>
      <c r="F651" s="5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7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  <c r="GJ651" s="3"/>
      <c r="GK651" s="3"/>
      <c r="GL651" s="3"/>
      <c r="GM651" s="3"/>
      <c r="GN651" s="3"/>
      <c r="GO651" s="3"/>
      <c r="GP651" s="3"/>
      <c r="GQ651" s="3"/>
      <c r="GR651" s="3"/>
      <c r="GS651" s="3"/>
      <c r="GT651" s="3"/>
      <c r="GU651" s="3"/>
      <c r="GV651" s="3"/>
      <c r="GW651" s="3"/>
      <c r="GX651" s="3"/>
      <c r="GY651" s="3"/>
      <c r="GZ651" s="3"/>
      <c r="HA651" s="3"/>
      <c r="HB651" s="3"/>
      <c r="HC651" s="3"/>
      <c r="HD651" s="3"/>
      <c r="HE651" s="3"/>
      <c r="HF651" s="3"/>
      <c r="HG651" s="3"/>
      <c r="HH651" s="3"/>
      <c r="HI651" s="3"/>
      <c r="HJ651" s="3"/>
      <c r="HK651" s="3"/>
      <c r="HL651" s="3"/>
      <c r="HM651" s="3"/>
      <c r="HN651" s="3"/>
      <c r="HO651" s="3"/>
      <c r="HP651" s="3"/>
      <c r="HQ651" s="3"/>
      <c r="HR651" s="3"/>
      <c r="HS651" s="3"/>
      <c r="HT651" s="3"/>
    </row>
    <row r="652">
      <c r="A652" s="14"/>
      <c r="B652" s="3"/>
      <c r="C652" s="3"/>
      <c r="D652" s="3"/>
      <c r="E652" s="3"/>
      <c r="F652" s="5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7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  <c r="GH652" s="3"/>
      <c r="GI652" s="3"/>
      <c r="GJ652" s="3"/>
      <c r="GK652" s="3"/>
      <c r="GL652" s="3"/>
      <c r="GM652" s="3"/>
      <c r="GN652" s="3"/>
      <c r="GO652" s="3"/>
      <c r="GP652" s="3"/>
      <c r="GQ652" s="3"/>
      <c r="GR652" s="3"/>
      <c r="GS652" s="3"/>
      <c r="GT652" s="3"/>
      <c r="GU652" s="3"/>
      <c r="GV652" s="3"/>
      <c r="GW652" s="3"/>
      <c r="GX652" s="3"/>
      <c r="GY652" s="3"/>
      <c r="GZ652" s="3"/>
      <c r="HA652" s="3"/>
      <c r="HB652" s="3"/>
      <c r="HC652" s="3"/>
      <c r="HD652" s="3"/>
      <c r="HE652" s="3"/>
      <c r="HF652" s="3"/>
      <c r="HG652" s="3"/>
      <c r="HH652" s="3"/>
      <c r="HI652" s="3"/>
      <c r="HJ652" s="3"/>
      <c r="HK652" s="3"/>
      <c r="HL652" s="3"/>
      <c r="HM652" s="3"/>
      <c r="HN652" s="3"/>
      <c r="HO652" s="3"/>
      <c r="HP652" s="3"/>
      <c r="HQ652" s="3"/>
      <c r="HR652" s="3"/>
      <c r="HS652" s="3"/>
      <c r="HT652" s="3"/>
    </row>
    <row r="653">
      <c r="A653" s="14"/>
      <c r="B653" s="3"/>
      <c r="C653" s="3"/>
      <c r="D653" s="3"/>
      <c r="E653" s="3"/>
      <c r="F653" s="5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7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3"/>
      <c r="GG653" s="3"/>
      <c r="GH653" s="3"/>
      <c r="GI653" s="3"/>
      <c r="GJ653" s="3"/>
      <c r="GK653" s="3"/>
      <c r="GL653" s="3"/>
      <c r="GM653" s="3"/>
      <c r="GN653" s="3"/>
      <c r="GO653" s="3"/>
      <c r="GP653" s="3"/>
      <c r="GQ653" s="3"/>
      <c r="GR653" s="3"/>
      <c r="GS653" s="3"/>
      <c r="GT653" s="3"/>
      <c r="GU653" s="3"/>
      <c r="GV653" s="3"/>
      <c r="GW653" s="3"/>
      <c r="GX653" s="3"/>
      <c r="GY653" s="3"/>
      <c r="GZ653" s="3"/>
      <c r="HA653" s="3"/>
      <c r="HB653" s="3"/>
      <c r="HC653" s="3"/>
      <c r="HD653" s="3"/>
      <c r="HE653" s="3"/>
      <c r="HF653" s="3"/>
      <c r="HG653" s="3"/>
      <c r="HH653" s="3"/>
      <c r="HI653" s="3"/>
      <c r="HJ653" s="3"/>
      <c r="HK653" s="3"/>
      <c r="HL653" s="3"/>
      <c r="HM653" s="3"/>
      <c r="HN653" s="3"/>
      <c r="HO653" s="3"/>
      <c r="HP653" s="3"/>
      <c r="HQ653" s="3"/>
      <c r="HR653" s="3"/>
      <c r="HS653" s="3"/>
      <c r="HT653" s="3"/>
    </row>
    <row r="654">
      <c r="A654" s="14"/>
      <c r="B654" s="3"/>
      <c r="C654" s="3"/>
      <c r="D654" s="3"/>
      <c r="E654" s="3"/>
      <c r="F654" s="5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7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  <c r="GH654" s="3"/>
      <c r="GI654" s="3"/>
      <c r="GJ654" s="3"/>
      <c r="GK654" s="3"/>
      <c r="GL654" s="3"/>
      <c r="GM654" s="3"/>
      <c r="GN654" s="3"/>
      <c r="GO654" s="3"/>
      <c r="GP654" s="3"/>
      <c r="GQ654" s="3"/>
      <c r="GR654" s="3"/>
      <c r="GS654" s="3"/>
      <c r="GT654" s="3"/>
      <c r="GU654" s="3"/>
      <c r="GV654" s="3"/>
      <c r="GW654" s="3"/>
      <c r="GX654" s="3"/>
      <c r="GY654" s="3"/>
      <c r="GZ654" s="3"/>
      <c r="HA654" s="3"/>
      <c r="HB654" s="3"/>
      <c r="HC654" s="3"/>
      <c r="HD654" s="3"/>
      <c r="HE654" s="3"/>
      <c r="HF654" s="3"/>
      <c r="HG654" s="3"/>
      <c r="HH654" s="3"/>
      <c r="HI654" s="3"/>
      <c r="HJ654" s="3"/>
      <c r="HK654" s="3"/>
      <c r="HL654" s="3"/>
      <c r="HM654" s="3"/>
      <c r="HN654" s="3"/>
      <c r="HO654" s="3"/>
      <c r="HP654" s="3"/>
      <c r="HQ654" s="3"/>
      <c r="HR654" s="3"/>
      <c r="HS654" s="3"/>
      <c r="HT654" s="3"/>
    </row>
    <row r="655">
      <c r="A655" s="14"/>
      <c r="B655" s="3"/>
      <c r="C655" s="3"/>
      <c r="D655" s="3"/>
      <c r="E655" s="3"/>
      <c r="F655" s="5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7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  <c r="GH655" s="3"/>
      <c r="GI655" s="3"/>
      <c r="GJ655" s="3"/>
      <c r="GK655" s="3"/>
      <c r="GL655" s="3"/>
      <c r="GM655" s="3"/>
      <c r="GN655" s="3"/>
      <c r="GO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  <c r="GZ655" s="3"/>
      <c r="HA655" s="3"/>
      <c r="HB655" s="3"/>
      <c r="HC655" s="3"/>
      <c r="HD655" s="3"/>
      <c r="HE655" s="3"/>
      <c r="HF655" s="3"/>
      <c r="HG655" s="3"/>
      <c r="HH655" s="3"/>
      <c r="HI655" s="3"/>
      <c r="HJ655" s="3"/>
      <c r="HK655" s="3"/>
      <c r="HL655" s="3"/>
      <c r="HM655" s="3"/>
      <c r="HN655" s="3"/>
      <c r="HO655" s="3"/>
      <c r="HP655" s="3"/>
      <c r="HQ655" s="3"/>
      <c r="HR655" s="3"/>
      <c r="HS655" s="3"/>
      <c r="HT655" s="3"/>
    </row>
    <row r="656">
      <c r="A656" s="14"/>
      <c r="B656" s="3"/>
      <c r="C656" s="3"/>
      <c r="D656" s="3"/>
      <c r="E656" s="3"/>
      <c r="F656" s="5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7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  <c r="GJ656" s="3"/>
      <c r="GK656" s="3"/>
      <c r="GL656" s="3"/>
      <c r="GM656" s="3"/>
      <c r="GN656" s="3"/>
      <c r="GO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  <c r="GZ656" s="3"/>
      <c r="HA656" s="3"/>
      <c r="HB656" s="3"/>
      <c r="HC656" s="3"/>
      <c r="HD656" s="3"/>
      <c r="HE656" s="3"/>
      <c r="HF656" s="3"/>
      <c r="HG656" s="3"/>
      <c r="HH656" s="3"/>
      <c r="HI656" s="3"/>
      <c r="HJ656" s="3"/>
      <c r="HK656" s="3"/>
      <c r="HL656" s="3"/>
      <c r="HM656" s="3"/>
      <c r="HN656" s="3"/>
      <c r="HO656" s="3"/>
      <c r="HP656" s="3"/>
      <c r="HQ656" s="3"/>
      <c r="HR656" s="3"/>
      <c r="HS656" s="3"/>
      <c r="HT656" s="3"/>
    </row>
    <row r="657">
      <c r="A657" s="14"/>
      <c r="B657" s="3"/>
      <c r="C657" s="3"/>
      <c r="D657" s="3"/>
      <c r="E657" s="3"/>
      <c r="F657" s="5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7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  <c r="GH657" s="3"/>
      <c r="GI657" s="3"/>
      <c r="GJ657" s="3"/>
      <c r="GK657" s="3"/>
      <c r="GL657" s="3"/>
      <c r="GM657" s="3"/>
      <c r="GN657" s="3"/>
      <c r="GO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  <c r="GZ657" s="3"/>
      <c r="HA657" s="3"/>
      <c r="HB657" s="3"/>
      <c r="HC657" s="3"/>
      <c r="HD657" s="3"/>
      <c r="HE657" s="3"/>
      <c r="HF657" s="3"/>
      <c r="HG657" s="3"/>
      <c r="HH657" s="3"/>
      <c r="HI657" s="3"/>
      <c r="HJ657" s="3"/>
      <c r="HK657" s="3"/>
      <c r="HL657" s="3"/>
      <c r="HM657" s="3"/>
      <c r="HN657" s="3"/>
      <c r="HO657" s="3"/>
      <c r="HP657" s="3"/>
      <c r="HQ657" s="3"/>
      <c r="HR657" s="3"/>
      <c r="HS657" s="3"/>
      <c r="HT657" s="3"/>
    </row>
    <row r="658">
      <c r="A658" s="14"/>
      <c r="B658" s="3"/>
      <c r="C658" s="3"/>
      <c r="D658" s="3"/>
      <c r="E658" s="3"/>
      <c r="F658" s="5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7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3"/>
      <c r="GG658" s="3"/>
      <c r="GH658" s="3"/>
      <c r="GI658" s="3"/>
      <c r="GJ658" s="3"/>
      <c r="GK658" s="3"/>
      <c r="GL658" s="3"/>
      <c r="GM658" s="3"/>
      <c r="GN658" s="3"/>
      <c r="GO658" s="3"/>
      <c r="GP658" s="3"/>
      <c r="GQ658" s="3"/>
      <c r="GR658" s="3"/>
      <c r="GS658" s="3"/>
      <c r="GT658" s="3"/>
      <c r="GU658" s="3"/>
      <c r="GV658" s="3"/>
      <c r="GW658" s="3"/>
      <c r="GX658" s="3"/>
      <c r="GY658" s="3"/>
      <c r="GZ658" s="3"/>
      <c r="HA658" s="3"/>
      <c r="HB658" s="3"/>
      <c r="HC658" s="3"/>
      <c r="HD658" s="3"/>
      <c r="HE658" s="3"/>
      <c r="HF658" s="3"/>
      <c r="HG658" s="3"/>
      <c r="HH658" s="3"/>
      <c r="HI658" s="3"/>
      <c r="HJ658" s="3"/>
      <c r="HK658" s="3"/>
      <c r="HL658" s="3"/>
      <c r="HM658" s="3"/>
      <c r="HN658" s="3"/>
      <c r="HO658" s="3"/>
      <c r="HP658" s="3"/>
      <c r="HQ658" s="3"/>
      <c r="HR658" s="3"/>
      <c r="HS658" s="3"/>
      <c r="HT658" s="3"/>
    </row>
    <row r="659">
      <c r="A659" s="14"/>
      <c r="B659" s="3"/>
      <c r="C659" s="3"/>
      <c r="D659" s="3"/>
      <c r="E659" s="3"/>
      <c r="F659" s="5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7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3"/>
      <c r="GG659" s="3"/>
      <c r="GH659" s="3"/>
      <c r="GI659" s="3"/>
      <c r="GJ659" s="3"/>
      <c r="GK659" s="3"/>
      <c r="GL659" s="3"/>
      <c r="GM659" s="3"/>
      <c r="GN659" s="3"/>
      <c r="GO659" s="3"/>
      <c r="GP659" s="3"/>
      <c r="GQ659" s="3"/>
      <c r="GR659" s="3"/>
      <c r="GS659" s="3"/>
      <c r="GT659" s="3"/>
      <c r="GU659" s="3"/>
      <c r="GV659" s="3"/>
      <c r="GW659" s="3"/>
      <c r="GX659" s="3"/>
      <c r="GY659" s="3"/>
      <c r="GZ659" s="3"/>
      <c r="HA659" s="3"/>
      <c r="HB659" s="3"/>
      <c r="HC659" s="3"/>
      <c r="HD659" s="3"/>
      <c r="HE659" s="3"/>
      <c r="HF659" s="3"/>
      <c r="HG659" s="3"/>
      <c r="HH659" s="3"/>
      <c r="HI659" s="3"/>
      <c r="HJ659" s="3"/>
      <c r="HK659" s="3"/>
      <c r="HL659" s="3"/>
      <c r="HM659" s="3"/>
      <c r="HN659" s="3"/>
      <c r="HO659" s="3"/>
      <c r="HP659" s="3"/>
      <c r="HQ659" s="3"/>
      <c r="HR659" s="3"/>
      <c r="HS659" s="3"/>
      <c r="HT659" s="3"/>
    </row>
    <row r="660">
      <c r="A660" s="14"/>
      <c r="B660" s="3"/>
      <c r="C660" s="3"/>
      <c r="D660" s="3"/>
      <c r="E660" s="3"/>
      <c r="F660" s="5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7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3"/>
      <c r="GG660" s="3"/>
      <c r="GH660" s="3"/>
      <c r="GI660" s="3"/>
      <c r="GJ660" s="3"/>
      <c r="GK660" s="3"/>
      <c r="GL660" s="3"/>
      <c r="GM660" s="3"/>
      <c r="GN660" s="3"/>
      <c r="GO660" s="3"/>
      <c r="GP660" s="3"/>
      <c r="GQ660" s="3"/>
      <c r="GR660" s="3"/>
      <c r="GS660" s="3"/>
      <c r="GT660" s="3"/>
      <c r="GU660" s="3"/>
      <c r="GV660" s="3"/>
      <c r="GW660" s="3"/>
      <c r="GX660" s="3"/>
      <c r="GY660" s="3"/>
      <c r="GZ660" s="3"/>
      <c r="HA660" s="3"/>
      <c r="HB660" s="3"/>
      <c r="HC660" s="3"/>
      <c r="HD660" s="3"/>
      <c r="HE660" s="3"/>
      <c r="HF660" s="3"/>
      <c r="HG660" s="3"/>
      <c r="HH660" s="3"/>
      <c r="HI660" s="3"/>
      <c r="HJ660" s="3"/>
      <c r="HK660" s="3"/>
      <c r="HL660" s="3"/>
      <c r="HM660" s="3"/>
      <c r="HN660" s="3"/>
      <c r="HO660" s="3"/>
      <c r="HP660" s="3"/>
      <c r="HQ660" s="3"/>
      <c r="HR660" s="3"/>
      <c r="HS660" s="3"/>
      <c r="HT660" s="3"/>
    </row>
    <row r="661">
      <c r="A661" s="14"/>
      <c r="B661" s="3"/>
      <c r="C661" s="3"/>
      <c r="D661" s="3"/>
      <c r="E661" s="3"/>
      <c r="F661" s="5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7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D661" s="3"/>
      <c r="GE661" s="3"/>
      <c r="GF661" s="3"/>
      <c r="GG661" s="3"/>
      <c r="GH661" s="3"/>
      <c r="GI661" s="3"/>
      <c r="GJ661" s="3"/>
      <c r="GK661" s="3"/>
      <c r="GL661" s="3"/>
      <c r="GM661" s="3"/>
      <c r="GN661" s="3"/>
      <c r="GO661" s="3"/>
      <c r="GP661" s="3"/>
      <c r="GQ661" s="3"/>
      <c r="GR661" s="3"/>
      <c r="GS661" s="3"/>
      <c r="GT661" s="3"/>
      <c r="GU661" s="3"/>
      <c r="GV661" s="3"/>
      <c r="GW661" s="3"/>
      <c r="GX661" s="3"/>
      <c r="GY661" s="3"/>
      <c r="GZ661" s="3"/>
      <c r="HA661" s="3"/>
      <c r="HB661" s="3"/>
      <c r="HC661" s="3"/>
      <c r="HD661" s="3"/>
      <c r="HE661" s="3"/>
      <c r="HF661" s="3"/>
      <c r="HG661" s="3"/>
      <c r="HH661" s="3"/>
      <c r="HI661" s="3"/>
      <c r="HJ661" s="3"/>
      <c r="HK661" s="3"/>
      <c r="HL661" s="3"/>
      <c r="HM661" s="3"/>
      <c r="HN661" s="3"/>
      <c r="HO661" s="3"/>
      <c r="HP661" s="3"/>
      <c r="HQ661" s="3"/>
      <c r="HR661" s="3"/>
      <c r="HS661" s="3"/>
      <c r="HT661" s="3"/>
    </row>
    <row r="662">
      <c r="A662" s="14"/>
      <c r="B662" s="3"/>
      <c r="C662" s="3"/>
      <c r="D662" s="3"/>
      <c r="E662" s="3"/>
      <c r="F662" s="5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7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D662" s="3"/>
      <c r="GE662" s="3"/>
      <c r="GF662" s="3"/>
      <c r="GG662" s="3"/>
      <c r="GH662" s="3"/>
      <c r="GI662" s="3"/>
      <c r="GJ662" s="3"/>
      <c r="GK662" s="3"/>
      <c r="GL662" s="3"/>
      <c r="GM662" s="3"/>
      <c r="GN662" s="3"/>
      <c r="GO662" s="3"/>
      <c r="GP662" s="3"/>
      <c r="GQ662" s="3"/>
      <c r="GR662" s="3"/>
      <c r="GS662" s="3"/>
      <c r="GT662" s="3"/>
      <c r="GU662" s="3"/>
      <c r="GV662" s="3"/>
      <c r="GW662" s="3"/>
      <c r="GX662" s="3"/>
      <c r="GY662" s="3"/>
      <c r="GZ662" s="3"/>
      <c r="HA662" s="3"/>
      <c r="HB662" s="3"/>
      <c r="HC662" s="3"/>
      <c r="HD662" s="3"/>
      <c r="HE662" s="3"/>
      <c r="HF662" s="3"/>
      <c r="HG662" s="3"/>
      <c r="HH662" s="3"/>
      <c r="HI662" s="3"/>
      <c r="HJ662" s="3"/>
      <c r="HK662" s="3"/>
      <c r="HL662" s="3"/>
      <c r="HM662" s="3"/>
      <c r="HN662" s="3"/>
      <c r="HO662" s="3"/>
      <c r="HP662" s="3"/>
      <c r="HQ662" s="3"/>
      <c r="HR662" s="3"/>
      <c r="HS662" s="3"/>
      <c r="HT662" s="3"/>
    </row>
    <row r="663">
      <c r="A663" s="14"/>
      <c r="B663" s="3"/>
      <c r="C663" s="3"/>
      <c r="D663" s="3"/>
      <c r="E663" s="3"/>
      <c r="F663" s="5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7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3"/>
      <c r="GG663" s="3"/>
      <c r="GH663" s="3"/>
      <c r="GI663" s="3"/>
      <c r="GJ663" s="3"/>
      <c r="GK663" s="3"/>
      <c r="GL663" s="3"/>
      <c r="GM663" s="3"/>
      <c r="GN663" s="3"/>
      <c r="GO663" s="3"/>
      <c r="GP663" s="3"/>
      <c r="GQ663" s="3"/>
      <c r="GR663" s="3"/>
      <c r="GS663" s="3"/>
      <c r="GT663" s="3"/>
      <c r="GU663" s="3"/>
      <c r="GV663" s="3"/>
      <c r="GW663" s="3"/>
      <c r="GX663" s="3"/>
      <c r="GY663" s="3"/>
      <c r="GZ663" s="3"/>
      <c r="HA663" s="3"/>
      <c r="HB663" s="3"/>
      <c r="HC663" s="3"/>
      <c r="HD663" s="3"/>
      <c r="HE663" s="3"/>
      <c r="HF663" s="3"/>
      <c r="HG663" s="3"/>
      <c r="HH663" s="3"/>
      <c r="HI663" s="3"/>
      <c r="HJ663" s="3"/>
      <c r="HK663" s="3"/>
      <c r="HL663" s="3"/>
      <c r="HM663" s="3"/>
      <c r="HN663" s="3"/>
      <c r="HO663" s="3"/>
      <c r="HP663" s="3"/>
      <c r="HQ663" s="3"/>
      <c r="HR663" s="3"/>
      <c r="HS663" s="3"/>
      <c r="HT663" s="3"/>
    </row>
    <row r="664">
      <c r="A664" s="14"/>
      <c r="B664" s="3"/>
      <c r="C664" s="3"/>
      <c r="D664" s="3"/>
      <c r="E664" s="3"/>
      <c r="F664" s="5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7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  <c r="GJ664" s="3"/>
      <c r="GK664" s="3"/>
      <c r="GL664" s="3"/>
      <c r="GM664" s="3"/>
      <c r="GN664" s="3"/>
      <c r="GO664" s="3"/>
      <c r="GP664" s="3"/>
      <c r="GQ664" s="3"/>
      <c r="GR664" s="3"/>
      <c r="GS664" s="3"/>
      <c r="GT664" s="3"/>
      <c r="GU664" s="3"/>
      <c r="GV664" s="3"/>
      <c r="GW664" s="3"/>
      <c r="GX664" s="3"/>
      <c r="GY664" s="3"/>
      <c r="GZ664" s="3"/>
      <c r="HA664" s="3"/>
      <c r="HB664" s="3"/>
      <c r="HC664" s="3"/>
      <c r="HD664" s="3"/>
      <c r="HE664" s="3"/>
      <c r="HF664" s="3"/>
      <c r="HG664" s="3"/>
      <c r="HH664" s="3"/>
      <c r="HI664" s="3"/>
      <c r="HJ664" s="3"/>
      <c r="HK664" s="3"/>
      <c r="HL664" s="3"/>
      <c r="HM664" s="3"/>
      <c r="HN664" s="3"/>
      <c r="HO664" s="3"/>
      <c r="HP664" s="3"/>
      <c r="HQ664" s="3"/>
      <c r="HR664" s="3"/>
      <c r="HS664" s="3"/>
      <c r="HT664" s="3"/>
    </row>
    <row r="665">
      <c r="A665" s="14"/>
      <c r="B665" s="3"/>
      <c r="C665" s="3"/>
      <c r="D665" s="3"/>
      <c r="E665" s="3"/>
      <c r="F665" s="5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7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  <c r="GH665" s="3"/>
      <c r="GI665" s="3"/>
      <c r="GJ665" s="3"/>
      <c r="GK665" s="3"/>
      <c r="GL665" s="3"/>
      <c r="GM665" s="3"/>
      <c r="GN665" s="3"/>
      <c r="GO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  <c r="GZ665" s="3"/>
      <c r="HA665" s="3"/>
      <c r="HB665" s="3"/>
      <c r="HC665" s="3"/>
      <c r="HD665" s="3"/>
      <c r="HE665" s="3"/>
      <c r="HF665" s="3"/>
      <c r="HG665" s="3"/>
      <c r="HH665" s="3"/>
      <c r="HI665" s="3"/>
      <c r="HJ665" s="3"/>
      <c r="HK665" s="3"/>
      <c r="HL665" s="3"/>
      <c r="HM665" s="3"/>
      <c r="HN665" s="3"/>
      <c r="HO665" s="3"/>
      <c r="HP665" s="3"/>
      <c r="HQ665" s="3"/>
      <c r="HR665" s="3"/>
      <c r="HS665" s="3"/>
      <c r="HT665" s="3"/>
    </row>
    <row r="666">
      <c r="A666" s="14"/>
      <c r="B666" s="3"/>
      <c r="C666" s="3"/>
      <c r="D666" s="3"/>
      <c r="E666" s="3"/>
      <c r="F666" s="5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7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D666" s="3"/>
      <c r="GE666" s="3"/>
      <c r="GF666" s="3"/>
      <c r="GG666" s="3"/>
      <c r="GH666" s="3"/>
      <c r="GI666" s="3"/>
      <c r="GJ666" s="3"/>
      <c r="GK666" s="3"/>
      <c r="GL666" s="3"/>
      <c r="GM666" s="3"/>
      <c r="GN666" s="3"/>
      <c r="GO666" s="3"/>
      <c r="GP666" s="3"/>
      <c r="GQ666" s="3"/>
      <c r="GR666" s="3"/>
      <c r="GS666" s="3"/>
      <c r="GT666" s="3"/>
      <c r="GU666" s="3"/>
      <c r="GV666" s="3"/>
      <c r="GW666" s="3"/>
      <c r="GX666" s="3"/>
      <c r="GY666" s="3"/>
      <c r="GZ666" s="3"/>
      <c r="HA666" s="3"/>
      <c r="HB666" s="3"/>
      <c r="HC666" s="3"/>
      <c r="HD666" s="3"/>
      <c r="HE666" s="3"/>
      <c r="HF666" s="3"/>
      <c r="HG666" s="3"/>
      <c r="HH666" s="3"/>
      <c r="HI666" s="3"/>
      <c r="HJ666" s="3"/>
      <c r="HK666" s="3"/>
      <c r="HL666" s="3"/>
      <c r="HM666" s="3"/>
      <c r="HN666" s="3"/>
      <c r="HO666" s="3"/>
      <c r="HP666" s="3"/>
      <c r="HQ666" s="3"/>
      <c r="HR666" s="3"/>
      <c r="HS666" s="3"/>
      <c r="HT666" s="3"/>
    </row>
    <row r="667">
      <c r="A667" s="14"/>
      <c r="B667" s="3"/>
      <c r="C667" s="3"/>
      <c r="D667" s="3"/>
      <c r="E667" s="3"/>
      <c r="F667" s="5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7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3"/>
      <c r="GG667" s="3"/>
      <c r="GH667" s="3"/>
      <c r="GI667" s="3"/>
      <c r="GJ667" s="3"/>
      <c r="GK667" s="3"/>
      <c r="GL667" s="3"/>
      <c r="GM667" s="3"/>
      <c r="GN667" s="3"/>
      <c r="GO667" s="3"/>
      <c r="GP667" s="3"/>
      <c r="GQ667" s="3"/>
      <c r="GR667" s="3"/>
      <c r="GS667" s="3"/>
      <c r="GT667" s="3"/>
      <c r="GU667" s="3"/>
      <c r="GV667" s="3"/>
      <c r="GW667" s="3"/>
      <c r="GX667" s="3"/>
      <c r="GY667" s="3"/>
      <c r="GZ667" s="3"/>
      <c r="HA667" s="3"/>
      <c r="HB667" s="3"/>
      <c r="HC667" s="3"/>
      <c r="HD667" s="3"/>
      <c r="HE667" s="3"/>
      <c r="HF667" s="3"/>
      <c r="HG667" s="3"/>
      <c r="HH667" s="3"/>
      <c r="HI667" s="3"/>
      <c r="HJ667" s="3"/>
      <c r="HK667" s="3"/>
      <c r="HL667" s="3"/>
      <c r="HM667" s="3"/>
      <c r="HN667" s="3"/>
      <c r="HO667" s="3"/>
      <c r="HP667" s="3"/>
      <c r="HQ667" s="3"/>
      <c r="HR667" s="3"/>
      <c r="HS667" s="3"/>
      <c r="HT667" s="3"/>
    </row>
    <row r="668">
      <c r="A668" s="14"/>
      <c r="B668" s="3"/>
      <c r="C668" s="3"/>
      <c r="D668" s="3"/>
      <c r="E668" s="3"/>
      <c r="F668" s="5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7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3"/>
      <c r="GG668" s="3"/>
      <c r="GH668" s="3"/>
      <c r="GI668" s="3"/>
      <c r="GJ668" s="3"/>
      <c r="GK668" s="3"/>
      <c r="GL668" s="3"/>
      <c r="GM668" s="3"/>
      <c r="GN668" s="3"/>
      <c r="GO668" s="3"/>
      <c r="GP668" s="3"/>
      <c r="GQ668" s="3"/>
      <c r="GR668" s="3"/>
      <c r="GS668" s="3"/>
      <c r="GT668" s="3"/>
      <c r="GU668" s="3"/>
      <c r="GV668" s="3"/>
      <c r="GW668" s="3"/>
      <c r="GX668" s="3"/>
      <c r="GY668" s="3"/>
      <c r="GZ668" s="3"/>
      <c r="HA668" s="3"/>
      <c r="HB668" s="3"/>
      <c r="HC668" s="3"/>
      <c r="HD668" s="3"/>
      <c r="HE668" s="3"/>
      <c r="HF668" s="3"/>
      <c r="HG668" s="3"/>
      <c r="HH668" s="3"/>
      <c r="HI668" s="3"/>
      <c r="HJ668" s="3"/>
      <c r="HK668" s="3"/>
      <c r="HL668" s="3"/>
      <c r="HM668" s="3"/>
      <c r="HN668" s="3"/>
      <c r="HO668" s="3"/>
      <c r="HP668" s="3"/>
      <c r="HQ668" s="3"/>
      <c r="HR668" s="3"/>
      <c r="HS668" s="3"/>
      <c r="HT668" s="3"/>
    </row>
    <row r="669">
      <c r="A669" s="14"/>
      <c r="B669" s="3"/>
      <c r="C669" s="3"/>
      <c r="D669" s="3"/>
      <c r="E669" s="3"/>
      <c r="F669" s="5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7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D669" s="3"/>
      <c r="GE669" s="3"/>
      <c r="GF669" s="3"/>
      <c r="GG669" s="3"/>
      <c r="GH669" s="3"/>
      <c r="GI669" s="3"/>
      <c r="GJ669" s="3"/>
      <c r="GK669" s="3"/>
      <c r="GL669" s="3"/>
      <c r="GM669" s="3"/>
      <c r="GN669" s="3"/>
      <c r="GO669" s="3"/>
      <c r="GP669" s="3"/>
      <c r="GQ669" s="3"/>
      <c r="GR669" s="3"/>
      <c r="GS669" s="3"/>
      <c r="GT669" s="3"/>
      <c r="GU669" s="3"/>
      <c r="GV669" s="3"/>
      <c r="GW669" s="3"/>
      <c r="GX669" s="3"/>
      <c r="GY669" s="3"/>
      <c r="GZ669" s="3"/>
      <c r="HA669" s="3"/>
      <c r="HB669" s="3"/>
      <c r="HC669" s="3"/>
      <c r="HD669" s="3"/>
      <c r="HE669" s="3"/>
      <c r="HF669" s="3"/>
      <c r="HG669" s="3"/>
      <c r="HH669" s="3"/>
      <c r="HI669" s="3"/>
      <c r="HJ669" s="3"/>
      <c r="HK669" s="3"/>
      <c r="HL669" s="3"/>
      <c r="HM669" s="3"/>
      <c r="HN669" s="3"/>
      <c r="HO669" s="3"/>
      <c r="HP669" s="3"/>
      <c r="HQ669" s="3"/>
      <c r="HR669" s="3"/>
      <c r="HS669" s="3"/>
      <c r="HT669" s="3"/>
    </row>
    <row r="670">
      <c r="A670" s="14"/>
      <c r="B670" s="3"/>
      <c r="C670" s="3"/>
      <c r="D670" s="3"/>
      <c r="E670" s="3"/>
      <c r="F670" s="5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7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  <c r="GH670" s="3"/>
      <c r="GI670" s="3"/>
      <c r="GJ670" s="3"/>
      <c r="GK670" s="3"/>
      <c r="GL670" s="3"/>
      <c r="GM670" s="3"/>
      <c r="GN670" s="3"/>
      <c r="GO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  <c r="GZ670" s="3"/>
      <c r="HA670" s="3"/>
      <c r="HB670" s="3"/>
      <c r="HC670" s="3"/>
      <c r="HD670" s="3"/>
      <c r="HE670" s="3"/>
      <c r="HF670" s="3"/>
      <c r="HG670" s="3"/>
      <c r="HH670" s="3"/>
      <c r="HI670" s="3"/>
      <c r="HJ670" s="3"/>
      <c r="HK670" s="3"/>
      <c r="HL670" s="3"/>
      <c r="HM670" s="3"/>
      <c r="HN670" s="3"/>
      <c r="HO670" s="3"/>
      <c r="HP670" s="3"/>
      <c r="HQ670" s="3"/>
      <c r="HR670" s="3"/>
      <c r="HS670" s="3"/>
      <c r="HT670" s="3"/>
    </row>
    <row r="671">
      <c r="A671" s="14"/>
      <c r="B671" s="3"/>
      <c r="C671" s="3"/>
      <c r="D671" s="3"/>
      <c r="E671" s="3"/>
      <c r="F671" s="5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7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3"/>
      <c r="GG671" s="3"/>
      <c r="GH671" s="3"/>
      <c r="GI671" s="3"/>
      <c r="GJ671" s="3"/>
      <c r="GK671" s="3"/>
      <c r="GL671" s="3"/>
      <c r="GM671" s="3"/>
      <c r="GN671" s="3"/>
      <c r="GO671" s="3"/>
      <c r="GP671" s="3"/>
      <c r="GQ671" s="3"/>
      <c r="GR671" s="3"/>
      <c r="GS671" s="3"/>
      <c r="GT671" s="3"/>
      <c r="GU671" s="3"/>
      <c r="GV671" s="3"/>
      <c r="GW671" s="3"/>
      <c r="GX671" s="3"/>
      <c r="GY671" s="3"/>
      <c r="GZ671" s="3"/>
      <c r="HA671" s="3"/>
      <c r="HB671" s="3"/>
      <c r="HC671" s="3"/>
      <c r="HD671" s="3"/>
      <c r="HE671" s="3"/>
      <c r="HF671" s="3"/>
      <c r="HG671" s="3"/>
      <c r="HH671" s="3"/>
      <c r="HI671" s="3"/>
      <c r="HJ671" s="3"/>
      <c r="HK671" s="3"/>
      <c r="HL671" s="3"/>
      <c r="HM671" s="3"/>
      <c r="HN671" s="3"/>
      <c r="HO671" s="3"/>
      <c r="HP671" s="3"/>
      <c r="HQ671" s="3"/>
      <c r="HR671" s="3"/>
      <c r="HS671" s="3"/>
      <c r="HT671" s="3"/>
    </row>
    <row r="672">
      <c r="A672" s="14"/>
      <c r="B672" s="3"/>
      <c r="C672" s="3"/>
      <c r="D672" s="3"/>
      <c r="E672" s="3"/>
      <c r="F672" s="5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7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3"/>
      <c r="GG672" s="3"/>
      <c r="GH672" s="3"/>
      <c r="GI672" s="3"/>
      <c r="GJ672" s="3"/>
      <c r="GK672" s="3"/>
      <c r="GL672" s="3"/>
      <c r="GM672" s="3"/>
      <c r="GN672" s="3"/>
      <c r="GO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  <c r="GZ672" s="3"/>
      <c r="HA672" s="3"/>
      <c r="HB672" s="3"/>
      <c r="HC672" s="3"/>
      <c r="HD672" s="3"/>
      <c r="HE672" s="3"/>
      <c r="HF672" s="3"/>
      <c r="HG672" s="3"/>
      <c r="HH672" s="3"/>
      <c r="HI672" s="3"/>
      <c r="HJ672" s="3"/>
      <c r="HK672" s="3"/>
      <c r="HL672" s="3"/>
      <c r="HM672" s="3"/>
      <c r="HN672" s="3"/>
      <c r="HO672" s="3"/>
      <c r="HP672" s="3"/>
      <c r="HQ672" s="3"/>
      <c r="HR672" s="3"/>
      <c r="HS672" s="3"/>
      <c r="HT672" s="3"/>
    </row>
    <row r="673">
      <c r="A673" s="14"/>
      <c r="B673" s="3"/>
      <c r="C673" s="3"/>
      <c r="D673" s="3"/>
      <c r="E673" s="3"/>
      <c r="F673" s="5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7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  <c r="GH673" s="3"/>
      <c r="GI673" s="3"/>
      <c r="GJ673" s="3"/>
      <c r="GK673" s="3"/>
      <c r="GL673" s="3"/>
      <c r="GM673" s="3"/>
      <c r="GN673" s="3"/>
      <c r="GO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  <c r="GZ673" s="3"/>
      <c r="HA673" s="3"/>
      <c r="HB673" s="3"/>
      <c r="HC673" s="3"/>
      <c r="HD673" s="3"/>
      <c r="HE673" s="3"/>
      <c r="HF673" s="3"/>
      <c r="HG673" s="3"/>
      <c r="HH673" s="3"/>
      <c r="HI673" s="3"/>
      <c r="HJ673" s="3"/>
      <c r="HK673" s="3"/>
      <c r="HL673" s="3"/>
      <c r="HM673" s="3"/>
      <c r="HN673" s="3"/>
      <c r="HO673" s="3"/>
      <c r="HP673" s="3"/>
      <c r="HQ673" s="3"/>
      <c r="HR673" s="3"/>
      <c r="HS673" s="3"/>
      <c r="HT673" s="3"/>
    </row>
    <row r="674">
      <c r="A674" s="14"/>
      <c r="B674" s="3"/>
      <c r="C674" s="3"/>
      <c r="D674" s="3"/>
      <c r="E674" s="3"/>
      <c r="F674" s="5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7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  <c r="GH674" s="3"/>
      <c r="GI674" s="3"/>
      <c r="GJ674" s="3"/>
      <c r="GK674" s="3"/>
      <c r="GL674" s="3"/>
      <c r="GM674" s="3"/>
      <c r="GN674" s="3"/>
      <c r="GO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  <c r="GZ674" s="3"/>
      <c r="HA674" s="3"/>
      <c r="HB674" s="3"/>
      <c r="HC674" s="3"/>
      <c r="HD674" s="3"/>
      <c r="HE674" s="3"/>
      <c r="HF674" s="3"/>
      <c r="HG674" s="3"/>
      <c r="HH674" s="3"/>
      <c r="HI674" s="3"/>
      <c r="HJ674" s="3"/>
      <c r="HK674" s="3"/>
      <c r="HL674" s="3"/>
      <c r="HM674" s="3"/>
      <c r="HN674" s="3"/>
      <c r="HO674" s="3"/>
      <c r="HP674" s="3"/>
      <c r="HQ674" s="3"/>
      <c r="HR674" s="3"/>
      <c r="HS674" s="3"/>
      <c r="HT674" s="3"/>
    </row>
    <row r="675">
      <c r="A675" s="14"/>
      <c r="B675" s="3"/>
      <c r="C675" s="3"/>
      <c r="D675" s="3"/>
      <c r="E675" s="3"/>
      <c r="F675" s="5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7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  <c r="GJ675" s="3"/>
      <c r="GK675" s="3"/>
      <c r="GL675" s="3"/>
      <c r="GM675" s="3"/>
      <c r="GN675" s="3"/>
      <c r="GO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  <c r="GZ675" s="3"/>
      <c r="HA675" s="3"/>
      <c r="HB675" s="3"/>
      <c r="HC675" s="3"/>
      <c r="HD675" s="3"/>
      <c r="HE675" s="3"/>
      <c r="HF675" s="3"/>
      <c r="HG675" s="3"/>
      <c r="HH675" s="3"/>
      <c r="HI675" s="3"/>
      <c r="HJ675" s="3"/>
      <c r="HK675" s="3"/>
      <c r="HL675" s="3"/>
      <c r="HM675" s="3"/>
      <c r="HN675" s="3"/>
      <c r="HO675" s="3"/>
      <c r="HP675" s="3"/>
      <c r="HQ675" s="3"/>
      <c r="HR675" s="3"/>
      <c r="HS675" s="3"/>
      <c r="HT675" s="3"/>
    </row>
    <row r="676">
      <c r="A676" s="14"/>
      <c r="B676" s="3"/>
      <c r="C676" s="3"/>
      <c r="D676" s="3"/>
      <c r="E676" s="3"/>
      <c r="F676" s="5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7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  <c r="GJ676" s="3"/>
      <c r="GK676" s="3"/>
      <c r="GL676" s="3"/>
      <c r="GM676" s="3"/>
      <c r="GN676" s="3"/>
      <c r="GO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  <c r="GZ676" s="3"/>
      <c r="HA676" s="3"/>
      <c r="HB676" s="3"/>
      <c r="HC676" s="3"/>
      <c r="HD676" s="3"/>
      <c r="HE676" s="3"/>
      <c r="HF676" s="3"/>
      <c r="HG676" s="3"/>
      <c r="HH676" s="3"/>
      <c r="HI676" s="3"/>
      <c r="HJ676" s="3"/>
      <c r="HK676" s="3"/>
      <c r="HL676" s="3"/>
      <c r="HM676" s="3"/>
      <c r="HN676" s="3"/>
      <c r="HO676" s="3"/>
      <c r="HP676" s="3"/>
      <c r="HQ676" s="3"/>
      <c r="HR676" s="3"/>
      <c r="HS676" s="3"/>
      <c r="HT676" s="3"/>
    </row>
    <row r="677">
      <c r="A677" s="14"/>
      <c r="B677" s="3"/>
      <c r="C677" s="3"/>
      <c r="D677" s="3"/>
      <c r="E677" s="3"/>
      <c r="F677" s="5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7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  <c r="GH677" s="3"/>
      <c r="GI677" s="3"/>
      <c r="GJ677" s="3"/>
      <c r="GK677" s="3"/>
      <c r="GL677" s="3"/>
      <c r="GM677" s="3"/>
      <c r="GN677" s="3"/>
      <c r="GO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  <c r="GZ677" s="3"/>
      <c r="HA677" s="3"/>
      <c r="HB677" s="3"/>
      <c r="HC677" s="3"/>
      <c r="HD677" s="3"/>
      <c r="HE677" s="3"/>
      <c r="HF677" s="3"/>
      <c r="HG677" s="3"/>
      <c r="HH677" s="3"/>
      <c r="HI677" s="3"/>
      <c r="HJ677" s="3"/>
      <c r="HK677" s="3"/>
      <c r="HL677" s="3"/>
      <c r="HM677" s="3"/>
      <c r="HN677" s="3"/>
      <c r="HO677" s="3"/>
      <c r="HP677" s="3"/>
      <c r="HQ677" s="3"/>
      <c r="HR677" s="3"/>
      <c r="HS677" s="3"/>
      <c r="HT677" s="3"/>
    </row>
    <row r="678">
      <c r="A678" s="14"/>
      <c r="B678" s="3"/>
      <c r="C678" s="3"/>
      <c r="D678" s="3"/>
      <c r="E678" s="3"/>
      <c r="F678" s="5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7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  <c r="GH678" s="3"/>
      <c r="GI678" s="3"/>
      <c r="GJ678" s="3"/>
      <c r="GK678" s="3"/>
      <c r="GL678" s="3"/>
      <c r="GM678" s="3"/>
      <c r="GN678" s="3"/>
      <c r="GO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  <c r="GZ678" s="3"/>
      <c r="HA678" s="3"/>
      <c r="HB678" s="3"/>
      <c r="HC678" s="3"/>
      <c r="HD678" s="3"/>
      <c r="HE678" s="3"/>
      <c r="HF678" s="3"/>
      <c r="HG678" s="3"/>
      <c r="HH678" s="3"/>
      <c r="HI678" s="3"/>
      <c r="HJ678" s="3"/>
      <c r="HK678" s="3"/>
      <c r="HL678" s="3"/>
      <c r="HM678" s="3"/>
      <c r="HN678" s="3"/>
      <c r="HO678" s="3"/>
      <c r="HP678" s="3"/>
      <c r="HQ678" s="3"/>
      <c r="HR678" s="3"/>
      <c r="HS678" s="3"/>
      <c r="HT678" s="3"/>
    </row>
    <row r="679">
      <c r="A679" s="14"/>
      <c r="B679" s="3"/>
      <c r="C679" s="3"/>
      <c r="D679" s="3"/>
      <c r="E679" s="3"/>
      <c r="F679" s="5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7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  <c r="GH679" s="3"/>
      <c r="GI679" s="3"/>
      <c r="GJ679" s="3"/>
      <c r="GK679" s="3"/>
      <c r="GL679" s="3"/>
      <c r="GM679" s="3"/>
      <c r="GN679" s="3"/>
      <c r="GO679" s="3"/>
      <c r="GP679" s="3"/>
      <c r="GQ679" s="3"/>
      <c r="GR679" s="3"/>
      <c r="GS679" s="3"/>
      <c r="GT679" s="3"/>
      <c r="GU679" s="3"/>
      <c r="GV679" s="3"/>
      <c r="GW679" s="3"/>
      <c r="GX679" s="3"/>
      <c r="GY679" s="3"/>
      <c r="GZ679" s="3"/>
      <c r="HA679" s="3"/>
      <c r="HB679" s="3"/>
      <c r="HC679" s="3"/>
      <c r="HD679" s="3"/>
      <c r="HE679" s="3"/>
      <c r="HF679" s="3"/>
      <c r="HG679" s="3"/>
      <c r="HH679" s="3"/>
      <c r="HI679" s="3"/>
      <c r="HJ679" s="3"/>
      <c r="HK679" s="3"/>
      <c r="HL679" s="3"/>
      <c r="HM679" s="3"/>
      <c r="HN679" s="3"/>
      <c r="HO679" s="3"/>
      <c r="HP679" s="3"/>
      <c r="HQ679" s="3"/>
      <c r="HR679" s="3"/>
      <c r="HS679" s="3"/>
      <c r="HT679" s="3"/>
    </row>
    <row r="680">
      <c r="A680" s="14"/>
      <c r="B680" s="3"/>
      <c r="C680" s="3"/>
      <c r="D680" s="3"/>
      <c r="E680" s="3"/>
      <c r="F680" s="5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7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  <c r="GO680" s="3"/>
      <c r="GP680" s="3"/>
      <c r="GQ680" s="3"/>
      <c r="GR680" s="3"/>
      <c r="GS680" s="3"/>
      <c r="GT680" s="3"/>
      <c r="GU680" s="3"/>
      <c r="GV680" s="3"/>
      <c r="GW680" s="3"/>
      <c r="GX680" s="3"/>
      <c r="GY680" s="3"/>
      <c r="GZ680" s="3"/>
      <c r="HA680" s="3"/>
      <c r="HB680" s="3"/>
      <c r="HC680" s="3"/>
      <c r="HD680" s="3"/>
      <c r="HE680" s="3"/>
      <c r="HF680" s="3"/>
      <c r="HG680" s="3"/>
      <c r="HH680" s="3"/>
      <c r="HI680" s="3"/>
      <c r="HJ680" s="3"/>
      <c r="HK680" s="3"/>
      <c r="HL680" s="3"/>
      <c r="HM680" s="3"/>
      <c r="HN680" s="3"/>
      <c r="HO680" s="3"/>
      <c r="HP680" s="3"/>
      <c r="HQ680" s="3"/>
      <c r="HR680" s="3"/>
      <c r="HS680" s="3"/>
      <c r="HT680" s="3"/>
    </row>
    <row r="681">
      <c r="A681" s="14"/>
      <c r="B681" s="3"/>
      <c r="C681" s="3"/>
      <c r="D681" s="3"/>
      <c r="E681" s="3"/>
      <c r="F681" s="5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7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  <c r="GH681" s="3"/>
      <c r="GI681" s="3"/>
      <c r="GJ681" s="3"/>
      <c r="GK681" s="3"/>
      <c r="GL681" s="3"/>
      <c r="GM681" s="3"/>
      <c r="GN681" s="3"/>
      <c r="GO681" s="3"/>
      <c r="GP681" s="3"/>
      <c r="GQ681" s="3"/>
      <c r="GR681" s="3"/>
      <c r="GS681" s="3"/>
      <c r="GT681" s="3"/>
      <c r="GU681" s="3"/>
      <c r="GV681" s="3"/>
      <c r="GW681" s="3"/>
      <c r="GX681" s="3"/>
      <c r="GY681" s="3"/>
      <c r="GZ681" s="3"/>
      <c r="HA681" s="3"/>
      <c r="HB681" s="3"/>
      <c r="HC681" s="3"/>
      <c r="HD681" s="3"/>
      <c r="HE681" s="3"/>
      <c r="HF681" s="3"/>
      <c r="HG681" s="3"/>
      <c r="HH681" s="3"/>
      <c r="HI681" s="3"/>
      <c r="HJ681" s="3"/>
      <c r="HK681" s="3"/>
      <c r="HL681" s="3"/>
      <c r="HM681" s="3"/>
      <c r="HN681" s="3"/>
      <c r="HO681" s="3"/>
      <c r="HP681" s="3"/>
      <c r="HQ681" s="3"/>
      <c r="HR681" s="3"/>
      <c r="HS681" s="3"/>
      <c r="HT681" s="3"/>
    </row>
    <row r="682">
      <c r="A682" s="14"/>
      <c r="B682" s="3"/>
      <c r="C682" s="3"/>
      <c r="D682" s="3"/>
      <c r="E682" s="3"/>
      <c r="F682" s="5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7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  <c r="GH682" s="3"/>
      <c r="GI682" s="3"/>
      <c r="GJ682" s="3"/>
      <c r="GK682" s="3"/>
      <c r="GL682" s="3"/>
      <c r="GM682" s="3"/>
      <c r="GN682" s="3"/>
      <c r="GO682" s="3"/>
      <c r="GP682" s="3"/>
      <c r="GQ682" s="3"/>
      <c r="GR682" s="3"/>
      <c r="GS682" s="3"/>
      <c r="GT682" s="3"/>
      <c r="GU682" s="3"/>
      <c r="GV682" s="3"/>
      <c r="GW682" s="3"/>
      <c r="GX682" s="3"/>
      <c r="GY682" s="3"/>
      <c r="GZ682" s="3"/>
      <c r="HA682" s="3"/>
      <c r="HB682" s="3"/>
      <c r="HC682" s="3"/>
      <c r="HD682" s="3"/>
      <c r="HE682" s="3"/>
      <c r="HF682" s="3"/>
      <c r="HG682" s="3"/>
      <c r="HH682" s="3"/>
      <c r="HI682" s="3"/>
      <c r="HJ682" s="3"/>
      <c r="HK682" s="3"/>
      <c r="HL682" s="3"/>
      <c r="HM682" s="3"/>
      <c r="HN682" s="3"/>
      <c r="HO682" s="3"/>
      <c r="HP682" s="3"/>
      <c r="HQ682" s="3"/>
      <c r="HR682" s="3"/>
      <c r="HS682" s="3"/>
      <c r="HT682" s="3"/>
    </row>
    <row r="683">
      <c r="A683" s="14"/>
      <c r="B683" s="3"/>
      <c r="C683" s="3"/>
      <c r="D683" s="3"/>
      <c r="E683" s="3"/>
      <c r="F683" s="5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7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  <c r="GJ683" s="3"/>
      <c r="GK683" s="3"/>
      <c r="GL683" s="3"/>
      <c r="GM683" s="3"/>
      <c r="GN683" s="3"/>
      <c r="GO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  <c r="GZ683" s="3"/>
      <c r="HA683" s="3"/>
      <c r="HB683" s="3"/>
      <c r="HC683" s="3"/>
      <c r="HD683" s="3"/>
      <c r="HE683" s="3"/>
      <c r="HF683" s="3"/>
      <c r="HG683" s="3"/>
      <c r="HH683" s="3"/>
      <c r="HI683" s="3"/>
      <c r="HJ683" s="3"/>
      <c r="HK683" s="3"/>
      <c r="HL683" s="3"/>
      <c r="HM683" s="3"/>
      <c r="HN683" s="3"/>
      <c r="HO683" s="3"/>
      <c r="HP683" s="3"/>
      <c r="HQ683" s="3"/>
      <c r="HR683" s="3"/>
      <c r="HS683" s="3"/>
      <c r="HT683" s="3"/>
    </row>
    <row r="684">
      <c r="A684" s="14"/>
      <c r="B684" s="3"/>
      <c r="C684" s="3"/>
      <c r="D684" s="3"/>
      <c r="E684" s="3"/>
      <c r="F684" s="5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7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3"/>
      <c r="GG684" s="3"/>
      <c r="GH684" s="3"/>
      <c r="GI684" s="3"/>
      <c r="GJ684" s="3"/>
      <c r="GK684" s="3"/>
      <c r="GL684" s="3"/>
      <c r="GM684" s="3"/>
      <c r="GN684" s="3"/>
      <c r="GO684" s="3"/>
      <c r="GP684" s="3"/>
      <c r="GQ684" s="3"/>
      <c r="GR684" s="3"/>
      <c r="GS684" s="3"/>
      <c r="GT684" s="3"/>
      <c r="GU684" s="3"/>
      <c r="GV684" s="3"/>
      <c r="GW684" s="3"/>
      <c r="GX684" s="3"/>
      <c r="GY684" s="3"/>
      <c r="GZ684" s="3"/>
      <c r="HA684" s="3"/>
      <c r="HB684" s="3"/>
      <c r="HC684" s="3"/>
      <c r="HD684" s="3"/>
      <c r="HE684" s="3"/>
      <c r="HF684" s="3"/>
      <c r="HG684" s="3"/>
      <c r="HH684" s="3"/>
      <c r="HI684" s="3"/>
      <c r="HJ684" s="3"/>
      <c r="HK684" s="3"/>
      <c r="HL684" s="3"/>
      <c r="HM684" s="3"/>
      <c r="HN684" s="3"/>
      <c r="HO684" s="3"/>
      <c r="HP684" s="3"/>
      <c r="HQ684" s="3"/>
      <c r="HR684" s="3"/>
      <c r="HS684" s="3"/>
      <c r="HT684" s="3"/>
    </row>
    <row r="685">
      <c r="A685" s="14"/>
      <c r="B685" s="3"/>
      <c r="C685" s="3"/>
      <c r="D685" s="3"/>
      <c r="E685" s="3"/>
      <c r="F685" s="5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7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3"/>
      <c r="GG685" s="3"/>
      <c r="GH685" s="3"/>
      <c r="GI685" s="3"/>
      <c r="GJ685" s="3"/>
      <c r="GK685" s="3"/>
      <c r="GL685" s="3"/>
      <c r="GM685" s="3"/>
      <c r="GN685" s="3"/>
      <c r="GO685" s="3"/>
      <c r="GP685" s="3"/>
      <c r="GQ685" s="3"/>
      <c r="GR685" s="3"/>
      <c r="GS685" s="3"/>
      <c r="GT685" s="3"/>
      <c r="GU685" s="3"/>
      <c r="GV685" s="3"/>
      <c r="GW685" s="3"/>
      <c r="GX685" s="3"/>
      <c r="GY685" s="3"/>
      <c r="GZ685" s="3"/>
      <c r="HA685" s="3"/>
      <c r="HB685" s="3"/>
      <c r="HC685" s="3"/>
      <c r="HD685" s="3"/>
      <c r="HE685" s="3"/>
      <c r="HF685" s="3"/>
      <c r="HG685" s="3"/>
      <c r="HH685" s="3"/>
      <c r="HI685" s="3"/>
      <c r="HJ685" s="3"/>
      <c r="HK685" s="3"/>
      <c r="HL685" s="3"/>
      <c r="HM685" s="3"/>
      <c r="HN685" s="3"/>
      <c r="HO685" s="3"/>
      <c r="HP685" s="3"/>
      <c r="HQ685" s="3"/>
      <c r="HR685" s="3"/>
      <c r="HS685" s="3"/>
      <c r="HT685" s="3"/>
    </row>
    <row r="686">
      <c r="A686" s="14"/>
      <c r="B686" s="3"/>
      <c r="C686" s="3"/>
      <c r="D686" s="3"/>
      <c r="E686" s="3"/>
      <c r="F686" s="5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7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D686" s="3"/>
      <c r="GE686" s="3"/>
      <c r="GF686" s="3"/>
      <c r="GG686" s="3"/>
      <c r="GH686" s="3"/>
      <c r="GI686" s="3"/>
      <c r="GJ686" s="3"/>
      <c r="GK686" s="3"/>
      <c r="GL686" s="3"/>
      <c r="GM686" s="3"/>
      <c r="GN686" s="3"/>
      <c r="GO686" s="3"/>
      <c r="GP686" s="3"/>
      <c r="GQ686" s="3"/>
      <c r="GR686" s="3"/>
      <c r="GS686" s="3"/>
      <c r="GT686" s="3"/>
      <c r="GU686" s="3"/>
      <c r="GV686" s="3"/>
      <c r="GW686" s="3"/>
      <c r="GX686" s="3"/>
      <c r="GY686" s="3"/>
      <c r="GZ686" s="3"/>
      <c r="HA686" s="3"/>
      <c r="HB686" s="3"/>
      <c r="HC686" s="3"/>
      <c r="HD686" s="3"/>
      <c r="HE686" s="3"/>
      <c r="HF686" s="3"/>
      <c r="HG686" s="3"/>
      <c r="HH686" s="3"/>
      <c r="HI686" s="3"/>
      <c r="HJ686" s="3"/>
      <c r="HK686" s="3"/>
      <c r="HL686" s="3"/>
      <c r="HM686" s="3"/>
      <c r="HN686" s="3"/>
      <c r="HO686" s="3"/>
      <c r="HP686" s="3"/>
      <c r="HQ686" s="3"/>
      <c r="HR686" s="3"/>
      <c r="HS686" s="3"/>
      <c r="HT686" s="3"/>
    </row>
    <row r="687">
      <c r="A687" s="14"/>
      <c r="B687" s="3"/>
      <c r="C687" s="3"/>
      <c r="D687" s="3"/>
      <c r="E687" s="3"/>
      <c r="F687" s="5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7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3"/>
      <c r="GB687" s="3"/>
      <c r="GC687" s="3"/>
      <c r="GD687" s="3"/>
      <c r="GE687" s="3"/>
      <c r="GF687" s="3"/>
      <c r="GG687" s="3"/>
      <c r="GH687" s="3"/>
      <c r="GI687" s="3"/>
      <c r="GJ687" s="3"/>
      <c r="GK687" s="3"/>
      <c r="GL687" s="3"/>
      <c r="GM687" s="3"/>
      <c r="GN687" s="3"/>
      <c r="GO687" s="3"/>
      <c r="GP687" s="3"/>
      <c r="GQ687" s="3"/>
      <c r="GR687" s="3"/>
      <c r="GS687" s="3"/>
      <c r="GT687" s="3"/>
      <c r="GU687" s="3"/>
      <c r="GV687" s="3"/>
      <c r="GW687" s="3"/>
      <c r="GX687" s="3"/>
      <c r="GY687" s="3"/>
      <c r="GZ687" s="3"/>
      <c r="HA687" s="3"/>
      <c r="HB687" s="3"/>
      <c r="HC687" s="3"/>
      <c r="HD687" s="3"/>
      <c r="HE687" s="3"/>
      <c r="HF687" s="3"/>
      <c r="HG687" s="3"/>
      <c r="HH687" s="3"/>
      <c r="HI687" s="3"/>
      <c r="HJ687" s="3"/>
      <c r="HK687" s="3"/>
      <c r="HL687" s="3"/>
      <c r="HM687" s="3"/>
      <c r="HN687" s="3"/>
      <c r="HO687" s="3"/>
      <c r="HP687" s="3"/>
      <c r="HQ687" s="3"/>
      <c r="HR687" s="3"/>
      <c r="HS687" s="3"/>
      <c r="HT687" s="3"/>
    </row>
    <row r="688">
      <c r="A688" s="14"/>
      <c r="B688" s="3"/>
      <c r="C688" s="3"/>
      <c r="D688" s="3"/>
      <c r="E688" s="3"/>
      <c r="F688" s="5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7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D688" s="3"/>
      <c r="GE688" s="3"/>
      <c r="GF688" s="3"/>
      <c r="GG688" s="3"/>
      <c r="GH688" s="3"/>
      <c r="GI688" s="3"/>
      <c r="GJ688" s="3"/>
      <c r="GK688" s="3"/>
      <c r="GL688" s="3"/>
      <c r="GM688" s="3"/>
      <c r="GN688" s="3"/>
      <c r="GO688" s="3"/>
      <c r="GP688" s="3"/>
      <c r="GQ688" s="3"/>
      <c r="GR688" s="3"/>
      <c r="GS688" s="3"/>
      <c r="GT688" s="3"/>
      <c r="GU688" s="3"/>
      <c r="GV688" s="3"/>
      <c r="GW688" s="3"/>
      <c r="GX688" s="3"/>
      <c r="GY688" s="3"/>
      <c r="GZ688" s="3"/>
      <c r="HA688" s="3"/>
      <c r="HB688" s="3"/>
      <c r="HC688" s="3"/>
      <c r="HD688" s="3"/>
      <c r="HE688" s="3"/>
      <c r="HF688" s="3"/>
      <c r="HG688" s="3"/>
      <c r="HH688" s="3"/>
      <c r="HI688" s="3"/>
      <c r="HJ688" s="3"/>
      <c r="HK688" s="3"/>
      <c r="HL688" s="3"/>
      <c r="HM688" s="3"/>
      <c r="HN688" s="3"/>
      <c r="HO688" s="3"/>
      <c r="HP688" s="3"/>
      <c r="HQ688" s="3"/>
      <c r="HR688" s="3"/>
      <c r="HS688" s="3"/>
      <c r="HT688" s="3"/>
    </row>
    <row r="689">
      <c r="A689" s="14"/>
      <c r="B689" s="3"/>
      <c r="C689" s="3"/>
      <c r="D689" s="3"/>
      <c r="E689" s="3"/>
      <c r="F689" s="5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7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D689" s="3"/>
      <c r="GE689" s="3"/>
      <c r="GF689" s="3"/>
      <c r="GG689" s="3"/>
      <c r="GH689" s="3"/>
      <c r="GI689" s="3"/>
      <c r="GJ689" s="3"/>
      <c r="GK689" s="3"/>
      <c r="GL689" s="3"/>
      <c r="GM689" s="3"/>
      <c r="GN689" s="3"/>
      <c r="GO689" s="3"/>
      <c r="GP689" s="3"/>
      <c r="GQ689" s="3"/>
      <c r="GR689" s="3"/>
      <c r="GS689" s="3"/>
      <c r="GT689" s="3"/>
      <c r="GU689" s="3"/>
      <c r="GV689" s="3"/>
      <c r="GW689" s="3"/>
      <c r="GX689" s="3"/>
      <c r="GY689" s="3"/>
      <c r="GZ689" s="3"/>
      <c r="HA689" s="3"/>
      <c r="HB689" s="3"/>
      <c r="HC689" s="3"/>
      <c r="HD689" s="3"/>
      <c r="HE689" s="3"/>
      <c r="HF689" s="3"/>
      <c r="HG689" s="3"/>
      <c r="HH689" s="3"/>
      <c r="HI689" s="3"/>
      <c r="HJ689" s="3"/>
      <c r="HK689" s="3"/>
      <c r="HL689" s="3"/>
      <c r="HM689" s="3"/>
      <c r="HN689" s="3"/>
      <c r="HO689" s="3"/>
      <c r="HP689" s="3"/>
      <c r="HQ689" s="3"/>
      <c r="HR689" s="3"/>
      <c r="HS689" s="3"/>
      <c r="HT689" s="3"/>
    </row>
    <row r="690">
      <c r="A690" s="14"/>
      <c r="B690" s="3"/>
      <c r="C690" s="3"/>
      <c r="D690" s="3"/>
      <c r="E690" s="3"/>
      <c r="F690" s="5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7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D690" s="3"/>
      <c r="GE690" s="3"/>
      <c r="GF690" s="3"/>
      <c r="GG690" s="3"/>
      <c r="GH690" s="3"/>
      <c r="GI690" s="3"/>
      <c r="GJ690" s="3"/>
      <c r="GK690" s="3"/>
      <c r="GL690" s="3"/>
      <c r="GM690" s="3"/>
      <c r="GN690" s="3"/>
      <c r="GO690" s="3"/>
      <c r="GP690" s="3"/>
      <c r="GQ690" s="3"/>
      <c r="GR690" s="3"/>
      <c r="GS690" s="3"/>
      <c r="GT690" s="3"/>
      <c r="GU690" s="3"/>
      <c r="GV690" s="3"/>
      <c r="GW690" s="3"/>
      <c r="GX690" s="3"/>
      <c r="GY690" s="3"/>
      <c r="GZ690" s="3"/>
      <c r="HA690" s="3"/>
      <c r="HB690" s="3"/>
      <c r="HC690" s="3"/>
      <c r="HD690" s="3"/>
      <c r="HE690" s="3"/>
      <c r="HF690" s="3"/>
      <c r="HG690" s="3"/>
      <c r="HH690" s="3"/>
      <c r="HI690" s="3"/>
      <c r="HJ690" s="3"/>
      <c r="HK690" s="3"/>
      <c r="HL690" s="3"/>
      <c r="HM690" s="3"/>
      <c r="HN690" s="3"/>
      <c r="HO690" s="3"/>
      <c r="HP690" s="3"/>
      <c r="HQ690" s="3"/>
      <c r="HR690" s="3"/>
      <c r="HS690" s="3"/>
      <c r="HT690" s="3"/>
    </row>
    <row r="691">
      <c r="A691" s="14"/>
      <c r="B691" s="3"/>
      <c r="C691" s="3"/>
      <c r="D691" s="3"/>
      <c r="E691" s="3"/>
      <c r="F691" s="5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7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D691" s="3"/>
      <c r="GE691" s="3"/>
      <c r="GF691" s="3"/>
      <c r="GG691" s="3"/>
      <c r="GH691" s="3"/>
      <c r="GI691" s="3"/>
      <c r="GJ691" s="3"/>
      <c r="GK691" s="3"/>
      <c r="GL691" s="3"/>
      <c r="GM691" s="3"/>
      <c r="GN691" s="3"/>
      <c r="GO691" s="3"/>
      <c r="GP691" s="3"/>
      <c r="GQ691" s="3"/>
      <c r="GR691" s="3"/>
      <c r="GS691" s="3"/>
      <c r="GT691" s="3"/>
      <c r="GU691" s="3"/>
      <c r="GV691" s="3"/>
      <c r="GW691" s="3"/>
      <c r="GX691" s="3"/>
      <c r="GY691" s="3"/>
      <c r="GZ691" s="3"/>
      <c r="HA691" s="3"/>
      <c r="HB691" s="3"/>
      <c r="HC691" s="3"/>
      <c r="HD691" s="3"/>
      <c r="HE691" s="3"/>
      <c r="HF691" s="3"/>
      <c r="HG691" s="3"/>
      <c r="HH691" s="3"/>
      <c r="HI691" s="3"/>
      <c r="HJ691" s="3"/>
      <c r="HK691" s="3"/>
      <c r="HL691" s="3"/>
      <c r="HM691" s="3"/>
      <c r="HN691" s="3"/>
      <c r="HO691" s="3"/>
      <c r="HP691" s="3"/>
      <c r="HQ691" s="3"/>
      <c r="HR691" s="3"/>
      <c r="HS691" s="3"/>
      <c r="HT691" s="3"/>
    </row>
    <row r="692">
      <c r="A692" s="14"/>
      <c r="B692" s="3"/>
      <c r="C692" s="3"/>
      <c r="D692" s="3"/>
      <c r="E692" s="3"/>
      <c r="F692" s="5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7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D692" s="3"/>
      <c r="GE692" s="3"/>
      <c r="GF692" s="3"/>
      <c r="GG692" s="3"/>
      <c r="GH692" s="3"/>
      <c r="GI692" s="3"/>
      <c r="GJ692" s="3"/>
      <c r="GK692" s="3"/>
      <c r="GL692" s="3"/>
      <c r="GM692" s="3"/>
      <c r="GN692" s="3"/>
      <c r="GO692" s="3"/>
      <c r="GP692" s="3"/>
      <c r="GQ692" s="3"/>
      <c r="GR692" s="3"/>
      <c r="GS692" s="3"/>
      <c r="GT692" s="3"/>
      <c r="GU692" s="3"/>
      <c r="GV692" s="3"/>
      <c r="GW692" s="3"/>
      <c r="GX692" s="3"/>
      <c r="GY692" s="3"/>
      <c r="GZ692" s="3"/>
      <c r="HA692" s="3"/>
      <c r="HB692" s="3"/>
      <c r="HC692" s="3"/>
      <c r="HD692" s="3"/>
      <c r="HE692" s="3"/>
      <c r="HF692" s="3"/>
      <c r="HG692" s="3"/>
      <c r="HH692" s="3"/>
      <c r="HI692" s="3"/>
      <c r="HJ692" s="3"/>
      <c r="HK692" s="3"/>
      <c r="HL692" s="3"/>
      <c r="HM692" s="3"/>
      <c r="HN692" s="3"/>
      <c r="HO692" s="3"/>
      <c r="HP692" s="3"/>
      <c r="HQ692" s="3"/>
      <c r="HR692" s="3"/>
      <c r="HS692" s="3"/>
      <c r="HT692" s="3"/>
    </row>
    <row r="693">
      <c r="A693" s="14"/>
      <c r="B693" s="3"/>
      <c r="C693" s="3"/>
      <c r="D693" s="3"/>
      <c r="E693" s="3"/>
      <c r="F693" s="5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7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D693" s="3"/>
      <c r="GE693" s="3"/>
      <c r="GF693" s="3"/>
      <c r="GG693" s="3"/>
      <c r="GH693" s="3"/>
      <c r="GI693" s="3"/>
      <c r="GJ693" s="3"/>
      <c r="GK693" s="3"/>
      <c r="GL693" s="3"/>
      <c r="GM693" s="3"/>
      <c r="GN693" s="3"/>
      <c r="GO693" s="3"/>
      <c r="GP693" s="3"/>
      <c r="GQ693" s="3"/>
      <c r="GR693" s="3"/>
      <c r="GS693" s="3"/>
      <c r="GT693" s="3"/>
      <c r="GU693" s="3"/>
      <c r="GV693" s="3"/>
      <c r="GW693" s="3"/>
      <c r="GX693" s="3"/>
      <c r="GY693" s="3"/>
      <c r="GZ693" s="3"/>
      <c r="HA693" s="3"/>
      <c r="HB693" s="3"/>
      <c r="HC693" s="3"/>
      <c r="HD693" s="3"/>
      <c r="HE693" s="3"/>
      <c r="HF693" s="3"/>
      <c r="HG693" s="3"/>
      <c r="HH693" s="3"/>
      <c r="HI693" s="3"/>
      <c r="HJ693" s="3"/>
      <c r="HK693" s="3"/>
      <c r="HL693" s="3"/>
      <c r="HM693" s="3"/>
      <c r="HN693" s="3"/>
      <c r="HO693" s="3"/>
      <c r="HP693" s="3"/>
      <c r="HQ693" s="3"/>
      <c r="HR693" s="3"/>
      <c r="HS693" s="3"/>
      <c r="HT693" s="3"/>
    </row>
    <row r="694">
      <c r="A694" s="14"/>
      <c r="B694" s="3"/>
      <c r="C694" s="3"/>
      <c r="D694" s="3"/>
      <c r="E694" s="3"/>
      <c r="F694" s="5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7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D694" s="3"/>
      <c r="GE694" s="3"/>
      <c r="GF694" s="3"/>
      <c r="GG694" s="3"/>
      <c r="GH694" s="3"/>
      <c r="GI694" s="3"/>
      <c r="GJ694" s="3"/>
      <c r="GK694" s="3"/>
      <c r="GL694" s="3"/>
      <c r="GM694" s="3"/>
      <c r="GN694" s="3"/>
      <c r="GO694" s="3"/>
      <c r="GP694" s="3"/>
      <c r="GQ694" s="3"/>
      <c r="GR694" s="3"/>
      <c r="GS694" s="3"/>
      <c r="GT694" s="3"/>
      <c r="GU694" s="3"/>
      <c r="GV694" s="3"/>
      <c r="GW694" s="3"/>
      <c r="GX694" s="3"/>
      <c r="GY694" s="3"/>
      <c r="GZ694" s="3"/>
      <c r="HA694" s="3"/>
      <c r="HB694" s="3"/>
      <c r="HC694" s="3"/>
      <c r="HD694" s="3"/>
      <c r="HE694" s="3"/>
      <c r="HF694" s="3"/>
      <c r="HG694" s="3"/>
      <c r="HH694" s="3"/>
      <c r="HI694" s="3"/>
      <c r="HJ694" s="3"/>
      <c r="HK694" s="3"/>
      <c r="HL694" s="3"/>
      <c r="HM694" s="3"/>
      <c r="HN694" s="3"/>
      <c r="HO694" s="3"/>
      <c r="HP694" s="3"/>
      <c r="HQ694" s="3"/>
      <c r="HR694" s="3"/>
      <c r="HS694" s="3"/>
      <c r="HT694" s="3"/>
    </row>
    <row r="695">
      <c r="A695" s="14"/>
      <c r="B695" s="3"/>
      <c r="C695" s="3"/>
      <c r="D695" s="3"/>
      <c r="E695" s="3"/>
      <c r="F695" s="5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7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3"/>
      <c r="GB695" s="3"/>
      <c r="GC695" s="3"/>
      <c r="GD695" s="3"/>
      <c r="GE695" s="3"/>
      <c r="GF695" s="3"/>
      <c r="GG695" s="3"/>
      <c r="GH695" s="3"/>
      <c r="GI695" s="3"/>
      <c r="GJ695" s="3"/>
      <c r="GK695" s="3"/>
      <c r="GL695" s="3"/>
      <c r="GM695" s="3"/>
      <c r="GN695" s="3"/>
      <c r="GO695" s="3"/>
      <c r="GP695" s="3"/>
      <c r="GQ695" s="3"/>
      <c r="GR695" s="3"/>
      <c r="GS695" s="3"/>
      <c r="GT695" s="3"/>
      <c r="GU695" s="3"/>
      <c r="GV695" s="3"/>
      <c r="GW695" s="3"/>
      <c r="GX695" s="3"/>
      <c r="GY695" s="3"/>
      <c r="GZ695" s="3"/>
      <c r="HA695" s="3"/>
      <c r="HB695" s="3"/>
      <c r="HC695" s="3"/>
      <c r="HD695" s="3"/>
      <c r="HE695" s="3"/>
      <c r="HF695" s="3"/>
      <c r="HG695" s="3"/>
      <c r="HH695" s="3"/>
      <c r="HI695" s="3"/>
      <c r="HJ695" s="3"/>
      <c r="HK695" s="3"/>
      <c r="HL695" s="3"/>
      <c r="HM695" s="3"/>
      <c r="HN695" s="3"/>
      <c r="HO695" s="3"/>
      <c r="HP695" s="3"/>
      <c r="HQ695" s="3"/>
      <c r="HR695" s="3"/>
      <c r="HS695" s="3"/>
      <c r="HT695" s="3"/>
    </row>
    <row r="696">
      <c r="A696" s="14"/>
      <c r="B696" s="3"/>
      <c r="C696" s="3"/>
      <c r="D696" s="3"/>
      <c r="E696" s="3"/>
      <c r="F696" s="5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7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/>
      <c r="GB696" s="3"/>
      <c r="GC696" s="3"/>
      <c r="GD696" s="3"/>
      <c r="GE696" s="3"/>
      <c r="GF696" s="3"/>
      <c r="GG696" s="3"/>
      <c r="GH696" s="3"/>
      <c r="GI696" s="3"/>
      <c r="GJ696" s="3"/>
      <c r="GK696" s="3"/>
      <c r="GL696" s="3"/>
      <c r="GM696" s="3"/>
      <c r="GN696" s="3"/>
      <c r="GO696" s="3"/>
      <c r="GP696" s="3"/>
      <c r="GQ696" s="3"/>
      <c r="GR696" s="3"/>
      <c r="GS696" s="3"/>
      <c r="GT696" s="3"/>
      <c r="GU696" s="3"/>
      <c r="GV696" s="3"/>
      <c r="GW696" s="3"/>
      <c r="GX696" s="3"/>
      <c r="GY696" s="3"/>
      <c r="GZ696" s="3"/>
      <c r="HA696" s="3"/>
      <c r="HB696" s="3"/>
      <c r="HC696" s="3"/>
      <c r="HD696" s="3"/>
      <c r="HE696" s="3"/>
      <c r="HF696" s="3"/>
      <c r="HG696" s="3"/>
      <c r="HH696" s="3"/>
      <c r="HI696" s="3"/>
      <c r="HJ696" s="3"/>
      <c r="HK696" s="3"/>
      <c r="HL696" s="3"/>
      <c r="HM696" s="3"/>
      <c r="HN696" s="3"/>
      <c r="HO696" s="3"/>
      <c r="HP696" s="3"/>
      <c r="HQ696" s="3"/>
      <c r="HR696" s="3"/>
      <c r="HS696" s="3"/>
      <c r="HT696" s="3"/>
    </row>
    <row r="697">
      <c r="A697" s="14"/>
      <c r="B697" s="3"/>
      <c r="C697" s="3"/>
      <c r="D697" s="3"/>
      <c r="E697" s="3"/>
      <c r="F697" s="5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7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D697" s="3"/>
      <c r="GE697" s="3"/>
      <c r="GF697" s="3"/>
      <c r="GG697" s="3"/>
      <c r="GH697" s="3"/>
      <c r="GI697" s="3"/>
      <c r="GJ697" s="3"/>
      <c r="GK697" s="3"/>
      <c r="GL697" s="3"/>
      <c r="GM697" s="3"/>
      <c r="GN697" s="3"/>
      <c r="GO697" s="3"/>
      <c r="GP697" s="3"/>
      <c r="GQ697" s="3"/>
      <c r="GR697" s="3"/>
      <c r="GS697" s="3"/>
      <c r="GT697" s="3"/>
      <c r="GU697" s="3"/>
      <c r="GV697" s="3"/>
      <c r="GW697" s="3"/>
      <c r="GX697" s="3"/>
      <c r="GY697" s="3"/>
      <c r="GZ697" s="3"/>
      <c r="HA697" s="3"/>
      <c r="HB697" s="3"/>
      <c r="HC697" s="3"/>
      <c r="HD697" s="3"/>
      <c r="HE697" s="3"/>
      <c r="HF697" s="3"/>
      <c r="HG697" s="3"/>
      <c r="HH697" s="3"/>
      <c r="HI697" s="3"/>
      <c r="HJ697" s="3"/>
      <c r="HK697" s="3"/>
      <c r="HL697" s="3"/>
      <c r="HM697" s="3"/>
      <c r="HN697" s="3"/>
      <c r="HO697" s="3"/>
      <c r="HP697" s="3"/>
      <c r="HQ697" s="3"/>
      <c r="HR697" s="3"/>
      <c r="HS697" s="3"/>
      <c r="HT697" s="3"/>
    </row>
    <row r="698">
      <c r="A698" s="14"/>
      <c r="B698" s="3"/>
      <c r="C698" s="3"/>
      <c r="D698" s="3"/>
      <c r="E698" s="3"/>
      <c r="F698" s="5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7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D698" s="3"/>
      <c r="GE698" s="3"/>
      <c r="GF698" s="3"/>
      <c r="GG698" s="3"/>
      <c r="GH698" s="3"/>
      <c r="GI698" s="3"/>
      <c r="GJ698" s="3"/>
      <c r="GK698" s="3"/>
      <c r="GL698" s="3"/>
      <c r="GM698" s="3"/>
      <c r="GN698" s="3"/>
      <c r="GO698" s="3"/>
      <c r="GP698" s="3"/>
      <c r="GQ698" s="3"/>
      <c r="GR698" s="3"/>
      <c r="GS698" s="3"/>
      <c r="GT698" s="3"/>
      <c r="GU698" s="3"/>
      <c r="GV698" s="3"/>
      <c r="GW698" s="3"/>
      <c r="GX698" s="3"/>
      <c r="GY698" s="3"/>
      <c r="GZ698" s="3"/>
      <c r="HA698" s="3"/>
      <c r="HB698" s="3"/>
      <c r="HC698" s="3"/>
      <c r="HD698" s="3"/>
      <c r="HE698" s="3"/>
      <c r="HF698" s="3"/>
      <c r="HG698" s="3"/>
      <c r="HH698" s="3"/>
      <c r="HI698" s="3"/>
      <c r="HJ698" s="3"/>
      <c r="HK698" s="3"/>
      <c r="HL698" s="3"/>
      <c r="HM698" s="3"/>
      <c r="HN698" s="3"/>
      <c r="HO698" s="3"/>
      <c r="HP698" s="3"/>
      <c r="HQ698" s="3"/>
      <c r="HR698" s="3"/>
      <c r="HS698" s="3"/>
      <c r="HT698" s="3"/>
    </row>
    <row r="699">
      <c r="A699" s="14"/>
      <c r="B699" s="3"/>
      <c r="C699" s="3"/>
      <c r="D699" s="3"/>
      <c r="E699" s="3"/>
      <c r="F699" s="5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7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D699" s="3"/>
      <c r="GE699" s="3"/>
      <c r="GF699" s="3"/>
      <c r="GG699" s="3"/>
      <c r="GH699" s="3"/>
      <c r="GI699" s="3"/>
      <c r="GJ699" s="3"/>
      <c r="GK699" s="3"/>
      <c r="GL699" s="3"/>
      <c r="GM699" s="3"/>
      <c r="GN699" s="3"/>
      <c r="GO699" s="3"/>
      <c r="GP699" s="3"/>
      <c r="GQ699" s="3"/>
      <c r="GR699" s="3"/>
      <c r="GS699" s="3"/>
      <c r="GT699" s="3"/>
      <c r="GU699" s="3"/>
      <c r="GV699" s="3"/>
      <c r="GW699" s="3"/>
      <c r="GX699" s="3"/>
      <c r="GY699" s="3"/>
      <c r="GZ699" s="3"/>
      <c r="HA699" s="3"/>
      <c r="HB699" s="3"/>
      <c r="HC699" s="3"/>
      <c r="HD699" s="3"/>
      <c r="HE699" s="3"/>
      <c r="HF699" s="3"/>
      <c r="HG699" s="3"/>
      <c r="HH699" s="3"/>
      <c r="HI699" s="3"/>
      <c r="HJ699" s="3"/>
      <c r="HK699" s="3"/>
      <c r="HL699" s="3"/>
      <c r="HM699" s="3"/>
      <c r="HN699" s="3"/>
      <c r="HO699" s="3"/>
      <c r="HP699" s="3"/>
      <c r="HQ699" s="3"/>
      <c r="HR699" s="3"/>
      <c r="HS699" s="3"/>
      <c r="HT699" s="3"/>
    </row>
    <row r="700">
      <c r="A700" s="14"/>
      <c r="B700" s="3"/>
      <c r="C700" s="3"/>
      <c r="D700" s="3"/>
      <c r="E700" s="3"/>
      <c r="F700" s="5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7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D700" s="3"/>
      <c r="GE700" s="3"/>
      <c r="GF700" s="3"/>
      <c r="GG700" s="3"/>
      <c r="GH700" s="3"/>
      <c r="GI700" s="3"/>
      <c r="GJ700" s="3"/>
      <c r="GK700" s="3"/>
      <c r="GL700" s="3"/>
      <c r="GM700" s="3"/>
      <c r="GN700" s="3"/>
      <c r="GO700" s="3"/>
      <c r="GP700" s="3"/>
      <c r="GQ700" s="3"/>
      <c r="GR700" s="3"/>
      <c r="GS700" s="3"/>
      <c r="GT700" s="3"/>
      <c r="GU700" s="3"/>
      <c r="GV700" s="3"/>
      <c r="GW700" s="3"/>
      <c r="GX700" s="3"/>
      <c r="GY700" s="3"/>
      <c r="GZ700" s="3"/>
      <c r="HA700" s="3"/>
      <c r="HB700" s="3"/>
      <c r="HC700" s="3"/>
      <c r="HD700" s="3"/>
      <c r="HE700" s="3"/>
      <c r="HF700" s="3"/>
      <c r="HG700" s="3"/>
      <c r="HH700" s="3"/>
      <c r="HI700" s="3"/>
      <c r="HJ700" s="3"/>
      <c r="HK700" s="3"/>
      <c r="HL700" s="3"/>
      <c r="HM700" s="3"/>
      <c r="HN700" s="3"/>
      <c r="HO700" s="3"/>
      <c r="HP700" s="3"/>
      <c r="HQ700" s="3"/>
      <c r="HR700" s="3"/>
      <c r="HS700" s="3"/>
      <c r="HT700" s="3"/>
    </row>
    <row r="701">
      <c r="A701" s="14"/>
      <c r="B701" s="3"/>
      <c r="C701" s="3"/>
      <c r="D701" s="3"/>
      <c r="E701" s="3"/>
      <c r="F701" s="5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7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D701" s="3"/>
      <c r="GE701" s="3"/>
      <c r="GF701" s="3"/>
      <c r="GG701" s="3"/>
      <c r="GH701" s="3"/>
      <c r="GI701" s="3"/>
      <c r="GJ701" s="3"/>
      <c r="GK701" s="3"/>
      <c r="GL701" s="3"/>
      <c r="GM701" s="3"/>
      <c r="GN701" s="3"/>
      <c r="GO701" s="3"/>
      <c r="GP701" s="3"/>
      <c r="GQ701" s="3"/>
      <c r="GR701" s="3"/>
      <c r="GS701" s="3"/>
      <c r="GT701" s="3"/>
      <c r="GU701" s="3"/>
      <c r="GV701" s="3"/>
      <c r="GW701" s="3"/>
      <c r="GX701" s="3"/>
      <c r="GY701" s="3"/>
      <c r="GZ701" s="3"/>
      <c r="HA701" s="3"/>
      <c r="HB701" s="3"/>
      <c r="HC701" s="3"/>
      <c r="HD701" s="3"/>
      <c r="HE701" s="3"/>
      <c r="HF701" s="3"/>
      <c r="HG701" s="3"/>
      <c r="HH701" s="3"/>
      <c r="HI701" s="3"/>
      <c r="HJ701" s="3"/>
      <c r="HK701" s="3"/>
      <c r="HL701" s="3"/>
      <c r="HM701" s="3"/>
      <c r="HN701" s="3"/>
      <c r="HO701" s="3"/>
      <c r="HP701" s="3"/>
      <c r="HQ701" s="3"/>
      <c r="HR701" s="3"/>
      <c r="HS701" s="3"/>
      <c r="HT701" s="3"/>
    </row>
    <row r="702">
      <c r="A702" s="14"/>
      <c r="B702" s="3"/>
      <c r="C702" s="3"/>
      <c r="D702" s="3"/>
      <c r="E702" s="3"/>
      <c r="F702" s="5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7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D702" s="3"/>
      <c r="GE702" s="3"/>
      <c r="GF702" s="3"/>
      <c r="GG702" s="3"/>
      <c r="GH702" s="3"/>
      <c r="GI702" s="3"/>
      <c r="GJ702" s="3"/>
      <c r="GK702" s="3"/>
      <c r="GL702" s="3"/>
      <c r="GM702" s="3"/>
      <c r="GN702" s="3"/>
      <c r="GO702" s="3"/>
      <c r="GP702" s="3"/>
      <c r="GQ702" s="3"/>
      <c r="GR702" s="3"/>
      <c r="GS702" s="3"/>
      <c r="GT702" s="3"/>
      <c r="GU702" s="3"/>
      <c r="GV702" s="3"/>
      <c r="GW702" s="3"/>
      <c r="GX702" s="3"/>
      <c r="GY702" s="3"/>
      <c r="GZ702" s="3"/>
      <c r="HA702" s="3"/>
      <c r="HB702" s="3"/>
      <c r="HC702" s="3"/>
      <c r="HD702" s="3"/>
      <c r="HE702" s="3"/>
      <c r="HF702" s="3"/>
      <c r="HG702" s="3"/>
      <c r="HH702" s="3"/>
      <c r="HI702" s="3"/>
      <c r="HJ702" s="3"/>
      <c r="HK702" s="3"/>
      <c r="HL702" s="3"/>
      <c r="HM702" s="3"/>
      <c r="HN702" s="3"/>
      <c r="HO702" s="3"/>
      <c r="HP702" s="3"/>
      <c r="HQ702" s="3"/>
      <c r="HR702" s="3"/>
      <c r="HS702" s="3"/>
      <c r="HT702" s="3"/>
    </row>
    <row r="703">
      <c r="A703" s="14"/>
      <c r="B703" s="3"/>
      <c r="C703" s="3"/>
      <c r="D703" s="3"/>
      <c r="E703" s="3"/>
      <c r="F703" s="5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7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D703" s="3"/>
      <c r="GE703" s="3"/>
      <c r="GF703" s="3"/>
      <c r="GG703" s="3"/>
      <c r="GH703" s="3"/>
      <c r="GI703" s="3"/>
      <c r="GJ703" s="3"/>
      <c r="GK703" s="3"/>
      <c r="GL703" s="3"/>
      <c r="GM703" s="3"/>
      <c r="GN703" s="3"/>
      <c r="GO703" s="3"/>
      <c r="GP703" s="3"/>
      <c r="GQ703" s="3"/>
      <c r="GR703" s="3"/>
      <c r="GS703" s="3"/>
      <c r="GT703" s="3"/>
      <c r="GU703" s="3"/>
      <c r="GV703" s="3"/>
      <c r="GW703" s="3"/>
      <c r="GX703" s="3"/>
      <c r="GY703" s="3"/>
      <c r="GZ703" s="3"/>
      <c r="HA703" s="3"/>
      <c r="HB703" s="3"/>
      <c r="HC703" s="3"/>
      <c r="HD703" s="3"/>
      <c r="HE703" s="3"/>
      <c r="HF703" s="3"/>
      <c r="HG703" s="3"/>
      <c r="HH703" s="3"/>
      <c r="HI703" s="3"/>
      <c r="HJ703" s="3"/>
      <c r="HK703" s="3"/>
      <c r="HL703" s="3"/>
      <c r="HM703" s="3"/>
      <c r="HN703" s="3"/>
      <c r="HO703" s="3"/>
      <c r="HP703" s="3"/>
      <c r="HQ703" s="3"/>
      <c r="HR703" s="3"/>
      <c r="HS703" s="3"/>
      <c r="HT703" s="3"/>
    </row>
    <row r="704">
      <c r="A704" s="14"/>
      <c r="B704" s="3"/>
      <c r="C704" s="3"/>
      <c r="D704" s="3"/>
      <c r="E704" s="3"/>
      <c r="F704" s="5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7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D704" s="3"/>
      <c r="GE704" s="3"/>
      <c r="GF704" s="3"/>
      <c r="GG704" s="3"/>
      <c r="GH704" s="3"/>
      <c r="GI704" s="3"/>
      <c r="GJ704" s="3"/>
      <c r="GK704" s="3"/>
      <c r="GL704" s="3"/>
      <c r="GM704" s="3"/>
      <c r="GN704" s="3"/>
      <c r="GO704" s="3"/>
      <c r="GP704" s="3"/>
      <c r="GQ704" s="3"/>
      <c r="GR704" s="3"/>
      <c r="GS704" s="3"/>
      <c r="GT704" s="3"/>
      <c r="GU704" s="3"/>
      <c r="GV704" s="3"/>
      <c r="GW704" s="3"/>
      <c r="GX704" s="3"/>
      <c r="GY704" s="3"/>
      <c r="GZ704" s="3"/>
      <c r="HA704" s="3"/>
      <c r="HB704" s="3"/>
      <c r="HC704" s="3"/>
      <c r="HD704" s="3"/>
      <c r="HE704" s="3"/>
      <c r="HF704" s="3"/>
      <c r="HG704" s="3"/>
      <c r="HH704" s="3"/>
      <c r="HI704" s="3"/>
      <c r="HJ704" s="3"/>
      <c r="HK704" s="3"/>
      <c r="HL704" s="3"/>
      <c r="HM704" s="3"/>
      <c r="HN704" s="3"/>
      <c r="HO704" s="3"/>
      <c r="HP704" s="3"/>
      <c r="HQ704" s="3"/>
      <c r="HR704" s="3"/>
      <c r="HS704" s="3"/>
      <c r="HT704" s="3"/>
    </row>
    <row r="705">
      <c r="A705" s="14"/>
      <c r="B705" s="3"/>
      <c r="C705" s="3"/>
      <c r="D705" s="3"/>
      <c r="E705" s="3"/>
      <c r="F705" s="5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7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D705" s="3"/>
      <c r="GE705" s="3"/>
      <c r="GF705" s="3"/>
      <c r="GG705" s="3"/>
      <c r="GH705" s="3"/>
      <c r="GI705" s="3"/>
      <c r="GJ705" s="3"/>
      <c r="GK705" s="3"/>
      <c r="GL705" s="3"/>
      <c r="GM705" s="3"/>
      <c r="GN705" s="3"/>
      <c r="GO705" s="3"/>
      <c r="GP705" s="3"/>
      <c r="GQ705" s="3"/>
      <c r="GR705" s="3"/>
      <c r="GS705" s="3"/>
      <c r="GT705" s="3"/>
      <c r="GU705" s="3"/>
      <c r="GV705" s="3"/>
      <c r="GW705" s="3"/>
      <c r="GX705" s="3"/>
      <c r="GY705" s="3"/>
      <c r="GZ705" s="3"/>
      <c r="HA705" s="3"/>
      <c r="HB705" s="3"/>
      <c r="HC705" s="3"/>
      <c r="HD705" s="3"/>
      <c r="HE705" s="3"/>
      <c r="HF705" s="3"/>
      <c r="HG705" s="3"/>
      <c r="HH705" s="3"/>
      <c r="HI705" s="3"/>
      <c r="HJ705" s="3"/>
      <c r="HK705" s="3"/>
      <c r="HL705" s="3"/>
      <c r="HM705" s="3"/>
      <c r="HN705" s="3"/>
      <c r="HO705" s="3"/>
      <c r="HP705" s="3"/>
      <c r="HQ705" s="3"/>
      <c r="HR705" s="3"/>
      <c r="HS705" s="3"/>
      <c r="HT705" s="3"/>
    </row>
    <row r="706">
      <c r="A706" s="14"/>
      <c r="B706" s="3"/>
      <c r="C706" s="3"/>
      <c r="D706" s="3"/>
      <c r="E706" s="3"/>
      <c r="F706" s="5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7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D706" s="3"/>
      <c r="GE706" s="3"/>
      <c r="GF706" s="3"/>
      <c r="GG706" s="3"/>
      <c r="GH706" s="3"/>
      <c r="GI706" s="3"/>
      <c r="GJ706" s="3"/>
      <c r="GK706" s="3"/>
      <c r="GL706" s="3"/>
      <c r="GM706" s="3"/>
      <c r="GN706" s="3"/>
      <c r="GO706" s="3"/>
      <c r="GP706" s="3"/>
      <c r="GQ706" s="3"/>
      <c r="GR706" s="3"/>
      <c r="GS706" s="3"/>
      <c r="GT706" s="3"/>
      <c r="GU706" s="3"/>
      <c r="GV706" s="3"/>
      <c r="GW706" s="3"/>
      <c r="GX706" s="3"/>
      <c r="GY706" s="3"/>
      <c r="GZ706" s="3"/>
      <c r="HA706" s="3"/>
      <c r="HB706" s="3"/>
      <c r="HC706" s="3"/>
      <c r="HD706" s="3"/>
      <c r="HE706" s="3"/>
      <c r="HF706" s="3"/>
      <c r="HG706" s="3"/>
      <c r="HH706" s="3"/>
      <c r="HI706" s="3"/>
      <c r="HJ706" s="3"/>
      <c r="HK706" s="3"/>
      <c r="HL706" s="3"/>
      <c r="HM706" s="3"/>
      <c r="HN706" s="3"/>
      <c r="HO706" s="3"/>
      <c r="HP706" s="3"/>
      <c r="HQ706" s="3"/>
      <c r="HR706" s="3"/>
      <c r="HS706" s="3"/>
      <c r="HT706" s="3"/>
    </row>
    <row r="707">
      <c r="A707" s="14"/>
      <c r="B707" s="3"/>
      <c r="C707" s="3"/>
      <c r="D707" s="3"/>
      <c r="E707" s="3"/>
      <c r="F707" s="5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7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3"/>
      <c r="GG707" s="3"/>
      <c r="GH707" s="3"/>
      <c r="GI707" s="3"/>
      <c r="GJ707" s="3"/>
      <c r="GK707" s="3"/>
      <c r="GL707" s="3"/>
      <c r="GM707" s="3"/>
      <c r="GN707" s="3"/>
      <c r="GO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  <c r="GZ707" s="3"/>
      <c r="HA707" s="3"/>
      <c r="HB707" s="3"/>
      <c r="HC707" s="3"/>
      <c r="HD707" s="3"/>
      <c r="HE707" s="3"/>
      <c r="HF707" s="3"/>
      <c r="HG707" s="3"/>
      <c r="HH707" s="3"/>
      <c r="HI707" s="3"/>
      <c r="HJ707" s="3"/>
      <c r="HK707" s="3"/>
      <c r="HL707" s="3"/>
      <c r="HM707" s="3"/>
      <c r="HN707" s="3"/>
      <c r="HO707" s="3"/>
      <c r="HP707" s="3"/>
      <c r="HQ707" s="3"/>
      <c r="HR707" s="3"/>
      <c r="HS707" s="3"/>
      <c r="HT707" s="3"/>
    </row>
    <row r="708">
      <c r="A708" s="14"/>
      <c r="B708" s="3"/>
      <c r="C708" s="3"/>
      <c r="D708" s="3"/>
      <c r="E708" s="3"/>
      <c r="F708" s="5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7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D708" s="3"/>
      <c r="GE708" s="3"/>
      <c r="GF708" s="3"/>
      <c r="GG708" s="3"/>
      <c r="GH708" s="3"/>
      <c r="GI708" s="3"/>
      <c r="GJ708" s="3"/>
      <c r="GK708" s="3"/>
      <c r="GL708" s="3"/>
      <c r="GM708" s="3"/>
      <c r="GN708" s="3"/>
      <c r="GO708" s="3"/>
      <c r="GP708" s="3"/>
      <c r="GQ708" s="3"/>
      <c r="GR708" s="3"/>
      <c r="GS708" s="3"/>
      <c r="GT708" s="3"/>
      <c r="GU708" s="3"/>
      <c r="GV708" s="3"/>
      <c r="GW708" s="3"/>
      <c r="GX708" s="3"/>
      <c r="GY708" s="3"/>
      <c r="GZ708" s="3"/>
      <c r="HA708" s="3"/>
      <c r="HB708" s="3"/>
      <c r="HC708" s="3"/>
      <c r="HD708" s="3"/>
      <c r="HE708" s="3"/>
      <c r="HF708" s="3"/>
      <c r="HG708" s="3"/>
      <c r="HH708" s="3"/>
      <c r="HI708" s="3"/>
      <c r="HJ708" s="3"/>
      <c r="HK708" s="3"/>
      <c r="HL708" s="3"/>
      <c r="HM708" s="3"/>
      <c r="HN708" s="3"/>
      <c r="HO708" s="3"/>
      <c r="HP708" s="3"/>
      <c r="HQ708" s="3"/>
      <c r="HR708" s="3"/>
      <c r="HS708" s="3"/>
      <c r="HT708" s="3"/>
    </row>
    <row r="709">
      <c r="A709" s="14"/>
      <c r="B709" s="3"/>
      <c r="C709" s="3"/>
      <c r="D709" s="3"/>
      <c r="E709" s="3"/>
      <c r="F709" s="5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7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  <c r="GH709" s="3"/>
      <c r="GI709" s="3"/>
      <c r="GJ709" s="3"/>
      <c r="GK709" s="3"/>
      <c r="GL709" s="3"/>
      <c r="GM709" s="3"/>
      <c r="GN709" s="3"/>
      <c r="GO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  <c r="GZ709" s="3"/>
      <c r="HA709" s="3"/>
      <c r="HB709" s="3"/>
      <c r="HC709" s="3"/>
      <c r="HD709" s="3"/>
      <c r="HE709" s="3"/>
      <c r="HF709" s="3"/>
      <c r="HG709" s="3"/>
      <c r="HH709" s="3"/>
      <c r="HI709" s="3"/>
      <c r="HJ709" s="3"/>
      <c r="HK709" s="3"/>
      <c r="HL709" s="3"/>
      <c r="HM709" s="3"/>
      <c r="HN709" s="3"/>
      <c r="HO709" s="3"/>
      <c r="HP709" s="3"/>
      <c r="HQ709" s="3"/>
      <c r="HR709" s="3"/>
      <c r="HS709" s="3"/>
      <c r="HT709" s="3"/>
    </row>
    <row r="710">
      <c r="A710" s="14"/>
      <c r="B710" s="3"/>
      <c r="C710" s="3"/>
      <c r="D710" s="3"/>
      <c r="E710" s="3"/>
      <c r="F710" s="5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7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D710" s="3"/>
      <c r="GE710" s="3"/>
      <c r="GF710" s="3"/>
      <c r="GG710" s="3"/>
      <c r="GH710" s="3"/>
      <c r="GI710" s="3"/>
      <c r="GJ710" s="3"/>
      <c r="GK710" s="3"/>
      <c r="GL710" s="3"/>
      <c r="GM710" s="3"/>
      <c r="GN710" s="3"/>
      <c r="GO710" s="3"/>
      <c r="GP710" s="3"/>
      <c r="GQ710" s="3"/>
      <c r="GR710" s="3"/>
      <c r="GS710" s="3"/>
      <c r="GT710" s="3"/>
      <c r="GU710" s="3"/>
      <c r="GV710" s="3"/>
      <c r="GW710" s="3"/>
      <c r="GX710" s="3"/>
      <c r="GY710" s="3"/>
      <c r="GZ710" s="3"/>
      <c r="HA710" s="3"/>
      <c r="HB710" s="3"/>
      <c r="HC710" s="3"/>
      <c r="HD710" s="3"/>
      <c r="HE710" s="3"/>
      <c r="HF710" s="3"/>
      <c r="HG710" s="3"/>
      <c r="HH710" s="3"/>
      <c r="HI710" s="3"/>
      <c r="HJ710" s="3"/>
      <c r="HK710" s="3"/>
      <c r="HL710" s="3"/>
      <c r="HM710" s="3"/>
      <c r="HN710" s="3"/>
      <c r="HO710" s="3"/>
      <c r="HP710" s="3"/>
      <c r="HQ710" s="3"/>
      <c r="HR710" s="3"/>
      <c r="HS710" s="3"/>
      <c r="HT710" s="3"/>
    </row>
    <row r="711">
      <c r="A711" s="14"/>
      <c r="B711" s="3"/>
      <c r="C711" s="3"/>
      <c r="D711" s="3"/>
      <c r="E711" s="3"/>
      <c r="F711" s="5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7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3"/>
      <c r="GG711" s="3"/>
      <c r="GH711" s="3"/>
      <c r="GI711" s="3"/>
      <c r="GJ711" s="3"/>
      <c r="GK711" s="3"/>
      <c r="GL711" s="3"/>
      <c r="GM711" s="3"/>
      <c r="GN711" s="3"/>
      <c r="GO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  <c r="GZ711" s="3"/>
      <c r="HA711" s="3"/>
      <c r="HB711" s="3"/>
      <c r="HC711" s="3"/>
      <c r="HD711" s="3"/>
      <c r="HE711" s="3"/>
      <c r="HF711" s="3"/>
      <c r="HG711" s="3"/>
      <c r="HH711" s="3"/>
      <c r="HI711" s="3"/>
      <c r="HJ711" s="3"/>
      <c r="HK711" s="3"/>
      <c r="HL711" s="3"/>
      <c r="HM711" s="3"/>
      <c r="HN711" s="3"/>
      <c r="HO711" s="3"/>
      <c r="HP711" s="3"/>
      <c r="HQ711" s="3"/>
      <c r="HR711" s="3"/>
      <c r="HS711" s="3"/>
      <c r="HT711" s="3"/>
    </row>
    <row r="712">
      <c r="A712" s="14"/>
      <c r="B712" s="3"/>
      <c r="C712" s="3"/>
      <c r="D712" s="3"/>
      <c r="E712" s="3"/>
      <c r="F712" s="5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7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  <c r="GH712" s="3"/>
      <c r="GI712" s="3"/>
      <c r="GJ712" s="3"/>
      <c r="GK712" s="3"/>
      <c r="GL712" s="3"/>
      <c r="GM712" s="3"/>
      <c r="GN712" s="3"/>
      <c r="GO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  <c r="GZ712" s="3"/>
      <c r="HA712" s="3"/>
      <c r="HB712" s="3"/>
      <c r="HC712" s="3"/>
      <c r="HD712" s="3"/>
      <c r="HE712" s="3"/>
      <c r="HF712" s="3"/>
      <c r="HG712" s="3"/>
      <c r="HH712" s="3"/>
      <c r="HI712" s="3"/>
      <c r="HJ712" s="3"/>
      <c r="HK712" s="3"/>
      <c r="HL712" s="3"/>
      <c r="HM712" s="3"/>
      <c r="HN712" s="3"/>
      <c r="HO712" s="3"/>
      <c r="HP712" s="3"/>
      <c r="HQ712" s="3"/>
      <c r="HR712" s="3"/>
      <c r="HS712" s="3"/>
      <c r="HT712" s="3"/>
    </row>
    <row r="713">
      <c r="A713" s="14"/>
      <c r="B713" s="3"/>
      <c r="C713" s="3"/>
      <c r="D713" s="3"/>
      <c r="E713" s="3"/>
      <c r="F713" s="5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7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D713" s="3"/>
      <c r="GE713" s="3"/>
      <c r="GF713" s="3"/>
      <c r="GG713" s="3"/>
      <c r="GH713" s="3"/>
      <c r="GI713" s="3"/>
      <c r="GJ713" s="3"/>
      <c r="GK713" s="3"/>
      <c r="GL713" s="3"/>
      <c r="GM713" s="3"/>
      <c r="GN713" s="3"/>
      <c r="GO713" s="3"/>
      <c r="GP713" s="3"/>
      <c r="GQ713" s="3"/>
      <c r="GR713" s="3"/>
      <c r="GS713" s="3"/>
      <c r="GT713" s="3"/>
      <c r="GU713" s="3"/>
      <c r="GV713" s="3"/>
      <c r="GW713" s="3"/>
      <c r="GX713" s="3"/>
      <c r="GY713" s="3"/>
      <c r="GZ713" s="3"/>
      <c r="HA713" s="3"/>
      <c r="HB713" s="3"/>
      <c r="HC713" s="3"/>
      <c r="HD713" s="3"/>
      <c r="HE713" s="3"/>
      <c r="HF713" s="3"/>
      <c r="HG713" s="3"/>
      <c r="HH713" s="3"/>
      <c r="HI713" s="3"/>
      <c r="HJ713" s="3"/>
      <c r="HK713" s="3"/>
      <c r="HL713" s="3"/>
      <c r="HM713" s="3"/>
      <c r="HN713" s="3"/>
      <c r="HO713" s="3"/>
      <c r="HP713" s="3"/>
      <c r="HQ713" s="3"/>
      <c r="HR713" s="3"/>
      <c r="HS713" s="3"/>
      <c r="HT713" s="3"/>
    </row>
    <row r="714">
      <c r="A714" s="14"/>
      <c r="B714" s="3"/>
      <c r="C714" s="3"/>
      <c r="D714" s="3"/>
      <c r="E714" s="3"/>
      <c r="F714" s="5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7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D714" s="3"/>
      <c r="GE714" s="3"/>
      <c r="GF714" s="3"/>
      <c r="GG714" s="3"/>
      <c r="GH714" s="3"/>
      <c r="GI714" s="3"/>
      <c r="GJ714" s="3"/>
      <c r="GK714" s="3"/>
      <c r="GL714" s="3"/>
      <c r="GM714" s="3"/>
      <c r="GN714" s="3"/>
      <c r="GO714" s="3"/>
      <c r="GP714" s="3"/>
      <c r="GQ714" s="3"/>
      <c r="GR714" s="3"/>
      <c r="GS714" s="3"/>
      <c r="GT714" s="3"/>
      <c r="GU714" s="3"/>
      <c r="GV714" s="3"/>
      <c r="GW714" s="3"/>
      <c r="GX714" s="3"/>
      <c r="GY714" s="3"/>
      <c r="GZ714" s="3"/>
      <c r="HA714" s="3"/>
      <c r="HB714" s="3"/>
      <c r="HC714" s="3"/>
      <c r="HD714" s="3"/>
      <c r="HE714" s="3"/>
      <c r="HF714" s="3"/>
      <c r="HG714" s="3"/>
      <c r="HH714" s="3"/>
      <c r="HI714" s="3"/>
      <c r="HJ714" s="3"/>
      <c r="HK714" s="3"/>
      <c r="HL714" s="3"/>
      <c r="HM714" s="3"/>
      <c r="HN714" s="3"/>
      <c r="HO714" s="3"/>
      <c r="HP714" s="3"/>
      <c r="HQ714" s="3"/>
      <c r="HR714" s="3"/>
      <c r="HS714" s="3"/>
      <c r="HT714" s="3"/>
    </row>
    <row r="715">
      <c r="A715" s="14"/>
      <c r="B715" s="3"/>
      <c r="C715" s="3"/>
      <c r="D715" s="3"/>
      <c r="E715" s="3"/>
      <c r="F715" s="5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7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D715" s="3"/>
      <c r="GE715" s="3"/>
      <c r="GF715" s="3"/>
      <c r="GG715" s="3"/>
      <c r="GH715" s="3"/>
      <c r="GI715" s="3"/>
      <c r="GJ715" s="3"/>
      <c r="GK715" s="3"/>
      <c r="GL715" s="3"/>
      <c r="GM715" s="3"/>
      <c r="GN715" s="3"/>
      <c r="GO715" s="3"/>
      <c r="GP715" s="3"/>
      <c r="GQ715" s="3"/>
      <c r="GR715" s="3"/>
      <c r="GS715" s="3"/>
      <c r="GT715" s="3"/>
      <c r="GU715" s="3"/>
      <c r="GV715" s="3"/>
      <c r="GW715" s="3"/>
      <c r="GX715" s="3"/>
      <c r="GY715" s="3"/>
      <c r="GZ715" s="3"/>
      <c r="HA715" s="3"/>
      <c r="HB715" s="3"/>
      <c r="HC715" s="3"/>
      <c r="HD715" s="3"/>
      <c r="HE715" s="3"/>
      <c r="HF715" s="3"/>
      <c r="HG715" s="3"/>
      <c r="HH715" s="3"/>
      <c r="HI715" s="3"/>
      <c r="HJ715" s="3"/>
      <c r="HK715" s="3"/>
      <c r="HL715" s="3"/>
      <c r="HM715" s="3"/>
      <c r="HN715" s="3"/>
      <c r="HO715" s="3"/>
      <c r="HP715" s="3"/>
      <c r="HQ715" s="3"/>
      <c r="HR715" s="3"/>
      <c r="HS715" s="3"/>
      <c r="HT715" s="3"/>
    </row>
    <row r="716">
      <c r="A716" s="14"/>
      <c r="B716" s="3"/>
      <c r="C716" s="3"/>
      <c r="D716" s="3"/>
      <c r="E716" s="3"/>
      <c r="F716" s="5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7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D716" s="3"/>
      <c r="GE716" s="3"/>
      <c r="GF716" s="3"/>
      <c r="GG716" s="3"/>
      <c r="GH716" s="3"/>
      <c r="GI716" s="3"/>
      <c r="GJ716" s="3"/>
      <c r="GK716" s="3"/>
      <c r="GL716" s="3"/>
      <c r="GM716" s="3"/>
      <c r="GN716" s="3"/>
      <c r="GO716" s="3"/>
      <c r="GP716" s="3"/>
      <c r="GQ716" s="3"/>
      <c r="GR716" s="3"/>
      <c r="GS716" s="3"/>
      <c r="GT716" s="3"/>
      <c r="GU716" s="3"/>
      <c r="GV716" s="3"/>
      <c r="GW716" s="3"/>
      <c r="GX716" s="3"/>
      <c r="GY716" s="3"/>
      <c r="GZ716" s="3"/>
      <c r="HA716" s="3"/>
      <c r="HB716" s="3"/>
      <c r="HC716" s="3"/>
      <c r="HD716" s="3"/>
      <c r="HE716" s="3"/>
      <c r="HF716" s="3"/>
      <c r="HG716" s="3"/>
      <c r="HH716" s="3"/>
      <c r="HI716" s="3"/>
      <c r="HJ716" s="3"/>
      <c r="HK716" s="3"/>
      <c r="HL716" s="3"/>
      <c r="HM716" s="3"/>
      <c r="HN716" s="3"/>
      <c r="HO716" s="3"/>
      <c r="HP716" s="3"/>
      <c r="HQ716" s="3"/>
      <c r="HR716" s="3"/>
      <c r="HS716" s="3"/>
      <c r="HT716" s="3"/>
    </row>
    <row r="717">
      <c r="A717" s="14"/>
      <c r="B717" s="3"/>
      <c r="C717" s="3"/>
      <c r="D717" s="3"/>
      <c r="E717" s="3"/>
      <c r="F717" s="5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7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3"/>
      <c r="GG717" s="3"/>
      <c r="GH717" s="3"/>
      <c r="GI717" s="3"/>
      <c r="GJ717" s="3"/>
      <c r="GK717" s="3"/>
      <c r="GL717" s="3"/>
      <c r="GM717" s="3"/>
      <c r="GN717" s="3"/>
      <c r="GO717" s="3"/>
      <c r="GP717" s="3"/>
      <c r="GQ717" s="3"/>
      <c r="GR717" s="3"/>
      <c r="GS717" s="3"/>
      <c r="GT717" s="3"/>
      <c r="GU717" s="3"/>
      <c r="GV717" s="3"/>
      <c r="GW717" s="3"/>
      <c r="GX717" s="3"/>
      <c r="GY717" s="3"/>
      <c r="GZ717" s="3"/>
      <c r="HA717" s="3"/>
      <c r="HB717" s="3"/>
      <c r="HC717" s="3"/>
      <c r="HD717" s="3"/>
      <c r="HE717" s="3"/>
      <c r="HF717" s="3"/>
      <c r="HG717" s="3"/>
      <c r="HH717" s="3"/>
      <c r="HI717" s="3"/>
      <c r="HJ717" s="3"/>
      <c r="HK717" s="3"/>
      <c r="HL717" s="3"/>
      <c r="HM717" s="3"/>
      <c r="HN717" s="3"/>
      <c r="HO717" s="3"/>
      <c r="HP717" s="3"/>
      <c r="HQ717" s="3"/>
      <c r="HR717" s="3"/>
      <c r="HS717" s="3"/>
      <c r="HT717" s="3"/>
    </row>
    <row r="718">
      <c r="A718" s="14"/>
      <c r="B718" s="3"/>
      <c r="C718" s="3"/>
      <c r="D718" s="3"/>
      <c r="E718" s="3"/>
      <c r="F718" s="5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7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  <c r="GH718" s="3"/>
      <c r="GI718" s="3"/>
      <c r="GJ718" s="3"/>
      <c r="GK718" s="3"/>
      <c r="GL718" s="3"/>
      <c r="GM718" s="3"/>
      <c r="GN718" s="3"/>
      <c r="GO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  <c r="GZ718" s="3"/>
      <c r="HA718" s="3"/>
      <c r="HB718" s="3"/>
      <c r="HC718" s="3"/>
      <c r="HD718" s="3"/>
      <c r="HE718" s="3"/>
      <c r="HF718" s="3"/>
      <c r="HG718" s="3"/>
      <c r="HH718" s="3"/>
      <c r="HI718" s="3"/>
      <c r="HJ718" s="3"/>
      <c r="HK718" s="3"/>
      <c r="HL718" s="3"/>
      <c r="HM718" s="3"/>
      <c r="HN718" s="3"/>
      <c r="HO718" s="3"/>
      <c r="HP718" s="3"/>
      <c r="HQ718" s="3"/>
      <c r="HR718" s="3"/>
      <c r="HS718" s="3"/>
      <c r="HT718" s="3"/>
    </row>
    <row r="719">
      <c r="A719" s="14"/>
      <c r="B719" s="3"/>
      <c r="C719" s="3"/>
      <c r="D719" s="3"/>
      <c r="E719" s="3"/>
      <c r="F719" s="5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7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3"/>
      <c r="GG719" s="3"/>
      <c r="GH719" s="3"/>
      <c r="GI719" s="3"/>
      <c r="GJ719" s="3"/>
      <c r="GK719" s="3"/>
      <c r="GL719" s="3"/>
      <c r="GM719" s="3"/>
      <c r="GN719" s="3"/>
      <c r="GO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  <c r="GZ719" s="3"/>
      <c r="HA719" s="3"/>
      <c r="HB719" s="3"/>
      <c r="HC719" s="3"/>
      <c r="HD719" s="3"/>
      <c r="HE719" s="3"/>
      <c r="HF719" s="3"/>
      <c r="HG719" s="3"/>
      <c r="HH719" s="3"/>
      <c r="HI719" s="3"/>
      <c r="HJ719" s="3"/>
      <c r="HK719" s="3"/>
      <c r="HL719" s="3"/>
      <c r="HM719" s="3"/>
      <c r="HN719" s="3"/>
      <c r="HO719" s="3"/>
      <c r="HP719" s="3"/>
      <c r="HQ719" s="3"/>
      <c r="HR719" s="3"/>
      <c r="HS719" s="3"/>
      <c r="HT719" s="3"/>
    </row>
    <row r="720">
      <c r="A720" s="14"/>
      <c r="B720" s="3"/>
      <c r="C720" s="3"/>
      <c r="D720" s="3"/>
      <c r="E720" s="3"/>
      <c r="F720" s="5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7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  <c r="GZ720" s="3"/>
      <c r="HA720" s="3"/>
      <c r="HB720" s="3"/>
      <c r="HC720" s="3"/>
      <c r="HD720" s="3"/>
      <c r="HE720" s="3"/>
      <c r="HF720" s="3"/>
      <c r="HG720" s="3"/>
      <c r="HH720" s="3"/>
      <c r="HI720" s="3"/>
      <c r="HJ720" s="3"/>
      <c r="HK720" s="3"/>
      <c r="HL720" s="3"/>
      <c r="HM720" s="3"/>
      <c r="HN720" s="3"/>
      <c r="HO720" s="3"/>
      <c r="HP720" s="3"/>
      <c r="HQ720" s="3"/>
      <c r="HR720" s="3"/>
      <c r="HS720" s="3"/>
      <c r="HT720" s="3"/>
    </row>
    <row r="721">
      <c r="A721" s="14"/>
      <c r="B721" s="3"/>
      <c r="C721" s="3"/>
      <c r="D721" s="3"/>
      <c r="E721" s="3"/>
      <c r="F721" s="5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7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D721" s="3"/>
      <c r="GE721" s="3"/>
      <c r="GF721" s="3"/>
      <c r="GG721" s="3"/>
      <c r="GH721" s="3"/>
      <c r="GI721" s="3"/>
      <c r="GJ721" s="3"/>
      <c r="GK721" s="3"/>
      <c r="GL721" s="3"/>
      <c r="GM721" s="3"/>
      <c r="GN721" s="3"/>
      <c r="GO721" s="3"/>
      <c r="GP721" s="3"/>
      <c r="GQ721" s="3"/>
      <c r="GR721" s="3"/>
      <c r="GS721" s="3"/>
      <c r="GT721" s="3"/>
      <c r="GU721" s="3"/>
      <c r="GV721" s="3"/>
      <c r="GW721" s="3"/>
      <c r="GX721" s="3"/>
      <c r="GY721" s="3"/>
      <c r="GZ721" s="3"/>
      <c r="HA721" s="3"/>
      <c r="HB721" s="3"/>
      <c r="HC721" s="3"/>
      <c r="HD721" s="3"/>
      <c r="HE721" s="3"/>
      <c r="HF721" s="3"/>
      <c r="HG721" s="3"/>
      <c r="HH721" s="3"/>
      <c r="HI721" s="3"/>
      <c r="HJ721" s="3"/>
      <c r="HK721" s="3"/>
      <c r="HL721" s="3"/>
      <c r="HM721" s="3"/>
      <c r="HN721" s="3"/>
      <c r="HO721" s="3"/>
      <c r="HP721" s="3"/>
      <c r="HQ721" s="3"/>
      <c r="HR721" s="3"/>
      <c r="HS721" s="3"/>
      <c r="HT721" s="3"/>
    </row>
    <row r="722">
      <c r="A722" s="14"/>
      <c r="B722" s="3"/>
      <c r="C722" s="3"/>
      <c r="D722" s="3"/>
      <c r="E722" s="3"/>
      <c r="F722" s="5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7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D722" s="3"/>
      <c r="GE722" s="3"/>
      <c r="GF722" s="3"/>
      <c r="GG722" s="3"/>
      <c r="GH722" s="3"/>
      <c r="GI722" s="3"/>
      <c r="GJ722" s="3"/>
      <c r="GK722" s="3"/>
      <c r="GL722" s="3"/>
      <c r="GM722" s="3"/>
      <c r="GN722" s="3"/>
      <c r="GO722" s="3"/>
      <c r="GP722" s="3"/>
      <c r="GQ722" s="3"/>
      <c r="GR722" s="3"/>
      <c r="GS722" s="3"/>
      <c r="GT722" s="3"/>
      <c r="GU722" s="3"/>
      <c r="GV722" s="3"/>
      <c r="GW722" s="3"/>
      <c r="GX722" s="3"/>
      <c r="GY722" s="3"/>
      <c r="GZ722" s="3"/>
      <c r="HA722" s="3"/>
      <c r="HB722" s="3"/>
      <c r="HC722" s="3"/>
      <c r="HD722" s="3"/>
      <c r="HE722" s="3"/>
      <c r="HF722" s="3"/>
      <c r="HG722" s="3"/>
      <c r="HH722" s="3"/>
      <c r="HI722" s="3"/>
      <c r="HJ722" s="3"/>
      <c r="HK722" s="3"/>
      <c r="HL722" s="3"/>
      <c r="HM722" s="3"/>
      <c r="HN722" s="3"/>
      <c r="HO722" s="3"/>
      <c r="HP722" s="3"/>
      <c r="HQ722" s="3"/>
      <c r="HR722" s="3"/>
      <c r="HS722" s="3"/>
      <c r="HT722" s="3"/>
    </row>
    <row r="723">
      <c r="A723" s="14"/>
      <c r="B723" s="3"/>
      <c r="C723" s="3"/>
      <c r="D723" s="3"/>
      <c r="E723" s="3"/>
      <c r="F723" s="5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7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D723" s="3"/>
      <c r="GE723" s="3"/>
      <c r="GF723" s="3"/>
      <c r="GG723" s="3"/>
      <c r="GH723" s="3"/>
      <c r="GI723" s="3"/>
      <c r="GJ723" s="3"/>
      <c r="GK723" s="3"/>
      <c r="GL723" s="3"/>
      <c r="GM723" s="3"/>
      <c r="GN723" s="3"/>
      <c r="GO723" s="3"/>
      <c r="GP723" s="3"/>
      <c r="GQ723" s="3"/>
      <c r="GR723" s="3"/>
      <c r="GS723" s="3"/>
      <c r="GT723" s="3"/>
      <c r="GU723" s="3"/>
      <c r="GV723" s="3"/>
      <c r="GW723" s="3"/>
      <c r="GX723" s="3"/>
      <c r="GY723" s="3"/>
      <c r="GZ723" s="3"/>
      <c r="HA723" s="3"/>
      <c r="HB723" s="3"/>
      <c r="HC723" s="3"/>
      <c r="HD723" s="3"/>
      <c r="HE723" s="3"/>
      <c r="HF723" s="3"/>
      <c r="HG723" s="3"/>
      <c r="HH723" s="3"/>
      <c r="HI723" s="3"/>
      <c r="HJ723" s="3"/>
      <c r="HK723" s="3"/>
      <c r="HL723" s="3"/>
      <c r="HM723" s="3"/>
      <c r="HN723" s="3"/>
      <c r="HO723" s="3"/>
      <c r="HP723" s="3"/>
      <c r="HQ723" s="3"/>
      <c r="HR723" s="3"/>
      <c r="HS723" s="3"/>
      <c r="HT723" s="3"/>
    </row>
    <row r="724">
      <c r="A724" s="14"/>
      <c r="B724" s="3"/>
      <c r="C724" s="3"/>
      <c r="D724" s="3"/>
      <c r="E724" s="3"/>
      <c r="F724" s="5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7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D724" s="3"/>
      <c r="GE724" s="3"/>
      <c r="GF724" s="3"/>
      <c r="GG724" s="3"/>
      <c r="GH724" s="3"/>
      <c r="GI724" s="3"/>
      <c r="GJ724" s="3"/>
      <c r="GK724" s="3"/>
      <c r="GL724" s="3"/>
      <c r="GM724" s="3"/>
      <c r="GN724" s="3"/>
      <c r="GO724" s="3"/>
      <c r="GP724" s="3"/>
      <c r="GQ724" s="3"/>
      <c r="GR724" s="3"/>
      <c r="GS724" s="3"/>
      <c r="GT724" s="3"/>
      <c r="GU724" s="3"/>
      <c r="GV724" s="3"/>
      <c r="GW724" s="3"/>
      <c r="GX724" s="3"/>
      <c r="GY724" s="3"/>
      <c r="GZ724" s="3"/>
      <c r="HA724" s="3"/>
      <c r="HB724" s="3"/>
      <c r="HC724" s="3"/>
      <c r="HD724" s="3"/>
      <c r="HE724" s="3"/>
      <c r="HF724" s="3"/>
      <c r="HG724" s="3"/>
      <c r="HH724" s="3"/>
      <c r="HI724" s="3"/>
      <c r="HJ724" s="3"/>
      <c r="HK724" s="3"/>
      <c r="HL724" s="3"/>
      <c r="HM724" s="3"/>
      <c r="HN724" s="3"/>
      <c r="HO724" s="3"/>
      <c r="HP724" s="3"/>
      <c r="HQ724" s="3"/>
      <c r="HR724" s="3"/>
      <c r="HS724" s="3"/>
      <c r="HT724" s="3"/>
    </row>
    <row r="725">
      <c r="A725" s="14"/>
      <c r="B725" s="3"/>
      <c r="C725" s="3"/>
      <c r="D725" s="3"/>
      <c r="E725" s="3"/>
      <c r="F725" s="5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7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  <c r="FZ725" s="3"/>
      <c r="GA725" s="3"/>
      <c r="GB725" s="3"/>
      <c r="GC725" s="3"/>
      <c r="GD725" s="3"/>
      <c r="GE725" s="3"/>
      <c r="GF725" s="3"/>
      <c r="GG725" s="3"/>
      <c r="GH725" s="3"/>
      <c r="GI725" s="3"/>
      <c r="GJ725" s="3"/>
      <c r="GK725" s="3"/>
      <c r="GL725" s="3"/>
      <c r="GM725" s="3"/>
      <c r="GN725" s="3"/>
      <c r="GO725" s="3"/>
      <c r="GP725" s="3"/>
      <c r="GQ725" s="3"/>
      <c r="GR725" s="3"/>
      <c r="GS725" s="3"/>
      <c r="GT725" s="3"/>
      <c r="GU725" s="3"/>
      <c r="GV725" s="3"/>
      <c r="GW725" s="3"/>
      <c r="GX725" s="3"/>
      <c r="GY725" s="3"/>
      <c r="GZ725" s="3"/>
      <c r="HA725" s="3"/>
      <c r="HB725" s="3"/>
      <c r="HC725" s="3"/>
      <c r="HD725" s="3"/>
      <c r="HE725" s="3"/>
      <c r="HF725" s="3"/>
      <c r="HG725" s="3"/>
      <c r="HH725" s="3"/>
      <c r="HI725" s="3"/>
      <c r="HJ725" s="3"/>
      <c r="HK725" s="3"/>
      <c r="HL725" s="3"/>
      <c r="HM725" s="3"/>
      <c r="HN725" s="3"/>
      <c r="HO725" s="3"/>
      <c r="HP725" s="3"/>
      <c r="HQ725" s="3"/>
      <c r="HR725" s="3"/>
      <c r="HS725" s="3"/>
      <c r="HT725" s="3"/>
    </row>
    <row r="726">
      <c r="A726" s="14"/>
      <c r="B726" s="3"/>
      <c r="C726" s="3"/>
      <c r="D726" s="3"/>
      <c r="E726" s="3"/>
      <c r="F726" s="5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7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D726" s="3"/>
      <c r="GE726" s="3"/>
      <c r="GF726" s="3"/>
      <c r="GG726" s="3"/>
      <c r="GH726" s="3"/>
      <c r="GI726" s="3"/>
      <c r="GJ726" s="3"/>
      <c r="GK726" s="3"/>
      <c r="GL726" s="3"/>
      <c r="GM726" s="3"/>
      <c r="GN726" s="3"/>
      <c r="GO726" s="3"/>
      <c r="GP726" s="3"/>
      <c r="GQ726" s="3"/>
      <c r="GR726" s="3"/>
      <c r="GS726" s="3"/>
      <c r="GT726" s="3"/>
      <c r="GU726" s="3"/>
      <c r="GV726" s="3"/>
      <c r="GW726" s="3"/>
      <c r="GX726" s="3"/>
      <c r="GY726" s="3"/>
      <c r="GZ726" s="3"/>
      <c r="HA726" s="3"/>
      <c r="HB726" s="3"/>
      <c r="HC726" s="3"/>
      <c r="HD726" s="3"/>
      <c r="HE726" s="3"/>
      <c r="HF726" s="3"/>
      <c r="HG726" s="3"/>
      <c r="HH726" s="3"/>
      <c r="HI726" s="3"/>
      <c r="HJ726" s="3"/>
      <c r="HK726" s="3"/>
      <c r="HL726" s="3"/>
      <c r="HM726" s="3"/>
      <c r="HN726" s="3"/>
      <c r="HO726" s="3"/>
      <c r="HP726" s="3"/>
      <c r="HQ726" s="3"/>
      <c r="HR726" s="3"/>
      <c r="HS726" s="3"/>
      <c r="HT726" s="3"/>
    </row>
    <row r="727">
      <c r="A727" s="14"/>
      <c r="B727" s="3"/>
      <c r="C727" s="3"/>
      <c r="D727" s="3"/>
      <c r="E727" s="3"/>
      <c r="F727" s="5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7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D727" s="3"/>
      <c r="GE727" s="3"/>
      <c r="GF727" s="3"/>
      <c r="GG727" s="3"/>
      <c r="GH727" s="3"/>
      <c r="GI727" s="3"/>
      <c r="GJ727" s="3"/>
      <c r="GK727" s="3"/>
      <c r="GL727" s="3"/>
      <c r="GM727" s="3"/>
      <c r="GN727" s="3"/>
      <c r="GO727" s="3"/>
      <c r="GP727" s="3"/>
      <c r="GQ727" s="3"/>
      <c r="GR727" s="3"/>
      <c r="GS727" s="3"/>
      <c r="GT727" s="3"/>
      <c r="GU727" s="3"/>
      <c r="GV727" s="3"/>
      <c r="GW727" s="3"/>
      <c r="GX727" s="3"/>
      <c r="GY727" s="3"/>
      <c r="GZ727" s="3"/>
      <c r="HA727" s="3"/>
      <c r="HB727" s="3"/>
      <c r="HC727" s="3"/>
      <c r="HD727" s="3"/>
      <c r="HE727" s="3"/>
      <c r="HF727" s="3"/>
      <c r="HG727" s="3"/>
      <c r="HH727" s="3"/>
      <c r="HI727" s="3"/>
      <c r="HJ727" s="3"/>
      <c r="HK727" s="3"/>
      <c r="HL727" s="3"/>
      <c r="HM727" s="3"/>
      <c r="HN727" s="3"/>
      <c r="HO727" s="3"/>
      <c r="HP727" s="3"/>
      <c r="HQ727" s="3"/>
      <c r="HR727" s="3"/>
      <c r="HS727" s="3"/>
      <c r="HT727" s="3"/>
    </row>
    <row r="728">
      <c r="A728" s="14"/>
      <c r="B728" s="3"/>
      <c r="C728" s="3"/>
      <c r="D728" s="3"/>
      <c r="E728" s="3"/>
      <c r="F728" s="5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7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D728" s="3"/>
      <c r="GE728" s="3"/>
      <c r="GF728" s="3"/>
      <c r="GG728" s="3"/>
      <c r="GH728" s="3"/>
      <c r="GI728" s="3"/>
      <c r="GJ728" s="3"/>
      <c r="GK728" s="3"/>
      <c r="GL728" s="3"/>
      <c r="GM728" s="3"/>
      <c r="GN728" s="3"/>
      <c r="GO728" s="3"/>
      <c r="GP728" s="3"/>
      <c r="GQ728" s="3"/>
      <c r="GR728" s="3"/>
      <c r="GS728" s="3"/>
      <c r="GT728" s="3"/>
      <c r="GU728" s="3"/>
      <c r="GV728" s="3"/>
      <c r="GW728" s="3"/>
      <c r="GX728" s="3"/>
      <c r="GY728" s="3"/>
      <c r="GZ728" s="3"/>
      <c r="HA728" s="3"/>
      <c r="HB728" s="3"/>
      <c r="HC728" s="3"/>
      <c r="HD728" s="3"/>
      <c r="HE728" s="3"/>
      <c r="HF728" s="3"/>
      <c r="HG728" s="3"/>
      <c r="HH728" s="3"/>
      <c r="HI728" s="3"/>
      <c r="HJ728" s="3"/>
      <c r="HK728" s="3"/>
      <c r="HL728" s="3"/>
      <c r="HM728" s="3"/>
      <c r="HN728" s="3"/>
      <c r="HO728" s="3"/>
      <c r="HP728" s="3"/>
      <c r="HQ728" s="3"/>
      <c r="HR728" s="3"/>
      <c r="HS728" s="3"/>
      <c r="HT728" s="3"/>
    </row>
    <row r="729">
      <c r="A729" s="14"/>
      <c r="B729" s="3"/>
      <c r="C729" s="3"/>
      <c r="D729" s="3"/>
      <c r="E729" s="3"/>
      <c r="F729" s="5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7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D729" s="3"/>
      <c r="GE729" s="3"/>
      <c r="GF729" s="3"/>
      <c r="GG729" s="3"/>
      <c r="GH729" s="3"/>
      <c r="GI729" s="3"/>
      <c r="GJ729" s="3"/>
      <c r="GK729" s="3"/>
      <c r="GL729" s="3"/>
      <c r="GM729" s="3"/>
      <c r="GN729" s="3"/>
      <c r="GO729" s="3"/>
      <c r="GP729" s="3"/>
      <c r="GQ729" s="3"/>
      <c r="GR729" s="3"/>
      <c r="GS729" s="3"/>
      <c r="GT729" s="3"/>
      <c r="GU729" s="3"/>
      <c r="GV729" s="3"/>
      <c r="GW729" s="3"/>
      <c r="GX729" s="3"/>
      <c r="GY729" s="3"/>
      <c r="GZ729" s="3"/>
      <c r="HA729" s="3"/>
      <c r="HB729" s="3"/>
      <c r="HC729" s="3"/>
      <c r="HD729" s="3"/>
      <c r="HE729" s="3"/>
      <c r="HF729" s="3"/>
      <c r="HG729" s="3"/>
      <c r="HH729" s="3"/>
      <c r="HI729" s="3"/>
      <c r="HJ729" s="3"/>
      <c r="HK729" s="3"/>
      <c r="HL729" s="3"/>
      <c r="HM729" s="3"/>
      <c r="HN729" s="3"/>
      <c r="HO729" s="3"/>
      <c r="HP729" s="3"/>
      <c r="HQ729" s="3"/>
      <c r="HR729" s="3"/>
      <c r="HS729" s="3"/>
      <c r="HT729" s="3"/>
    </row>
    <row r="730">
      <c r="A730" s="14"/>
      <c r="B730" s="3"/>
      <c r="C730" s="3"/>
      <c r="D730" s="3"/>
      <c r="E730" s="3"/>
      <c r="F730" s="5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7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  <c r="GH730" s="3"/>
      <c r="GI730" s="3"/>
      <c r="GJ730" s="3"/>
      <c r="GK730" s="3"/>
      <c r="GL730" s="3"/>
      <c r="GM730" s="3"/>
      <c r="GN730" s="3"/>
      <c r="GO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  <c r="GZ730" s="3"/>
      <c r="HA730" s="3"/>
      <c r="HB730" s="3"/>
      <c r="HC730" s="3"/>
      <c r="HD730" s="3"/>
      <c r="HE730" s="3"/>
      <c r="HF730" s="3"/>
      <c r="HG730" s="3"/>
      <c r="HH730" s="3"/>
      <c r="HI730" s="3"/>
      <c r="HJ730" s="3"/>
      <c r="HK730" s="3"/>
      <c r="HL730" s="3"/>
      <c r="HM730" s="3"/>
      <c r="HN730" s="3"/>
      <c r="HO730" s="3"/>
      <c r="HP730" s="3"/>
      <c r="HQ730" s="3"/>
      <c r="HR730" s="3"/>
      <c r="HS730" s="3"/>
      <c r="HT730" s="3"/>
    </row>
    <row r="731">
      <c r="A731" s="14"/>
      <c r="B731" s="3"/>
      <c r="C731" s="3"/>
      <c r="D731" s="3"/>
      <c r="E731" s="3"/>
      <c r="F731" s="5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7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D731" s="3"/>
      <c r="GE731" s="3"/>
      <c r="GF731" s="3"/>
      <c r="GG731" s="3"/>
      <c r="GH731" s="3"/>
      <c r="GI731" s="3"/>
      <c r="GJ731" s="3"/>
      <c r="GK731" s="3"/>
      <c r="GL731" s="3"/>
      <c r="GM731" s="3"/>
      <c r="GN731" s="3"/>
      <c r="GO731" s="3"/>
      <c r="GP731" s="3"/>
      <c r="GQ731" s="3"/>
      <c r="GR731" s="3"/>
      <c r="GS731" s="3"/>
      <c r="GT731" s="3"/>
      <c r="GU731" s="3"/>
      <c r="GV731" s="3"/>
      <c r="GW731" s="3"/>
      <c r="GX731" s="3"/>
      <c r="GY731" s="3"/>
      <c r="GZ731" s="3"/>
      <c r="HA731" s="3"/>
      <c r="HB731" s="3"/>
      <c r="HC731" s="3"/>
      <c r="HD731" s="3"/>
      <c r="HE731" s="3"/>
      <c r="HF731" s="3"/>
      <c r="HG731" s="3"/>
      <c r="HH731" s="3"/>
      <c r="HI731" s="3"/>
      <c r="HJ731" s="3"/>
      <c r="HK731" s="3"/>
      <c r="HL731" s="3"/>
      <c r="HM731" s="3"/>
      <c r="HN731" s="3"/>
      <c r="HO731" s="3"/>
      <c r="HP731" s="3"/>
      <c r="HQ731" s="3"/>
      <c r="HR731" s="3"/>
      <c r="HS731" s="3"/>
      <c r="HT731" s="3"/>
    </row>
    <row r="732">
      <c r="A732" s="14"/>
      <c r="B732" s="3"/>
      <c r="C732" s="3"/>
      <c r="D732" s="3"/>
      <c r="E732" s="3"/>
      <c r="F732" s="5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7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3"/>
      <c r="GG732" s="3"/>
      <c r="GH732" s="3"/>
      <c r="GI732" s="3"/>
      <c r="GJ732" s="3"/>
      <c r="GK732" s="3"/>
      <c r="GL732" s="3"/>
      <c r="GM732" s="3"/>
      <c r="GN732" s="3"/>
      <c r="GO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  <c r="GZ732" s="3"/>
      <c r="HA732" s="3"/>
      <c r="HB732" s="3"/>
      <c r="HC732" s="3"/>
      <c r="HD732" s="3"/>
      <c r="HE732" s="3"/>
      <c r="HF732" s="3"/>
      <c r="HG732" s="3"/>
      <c r="HH732" s="3"/>
      <c r="HI732" s="3"/>
      <c r="HJ732" s="3"/>
      <c r="HK732" s="3"/>
      <c r="HL732" s="3"/>
      <c r="HM732" s="3"/>
      <c r="HN732" s="3"/>
      <c r="HO732" s="3"/>
      <c r="HP732" s="3"/>
      <c r="HQ732" s="3"/>
      <c r="HR732" s="3"/>
      <c r="HS732" s="3"/>
      <c r="HT732" s="3"/>
    </row>
    <row r="733">
      <c r="A733" s="14"/>
      <c r="B733" s="3"/>
      <c r="C733" s="3"/>
      <c r="D733" s="3"/>
      <c r="E733" s="3"/>
      <c r="F733" s="5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7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3"/>
      <c r="GG733" s="3"/>
      <c r="GH733" s="3"/>
      <c r="GI733" s="3"/>
      <c r="GJ733" s="3"/>
      <c r="GK733" s="3"/>
      <c r="GL733" s="3"/>
      <c r="GM733" s="3"/>
      <c r="GN733" s="3"/>
      <c r="GO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  <c r="GZ733" s="3"/>
      <c r="HA733" s="3"/>
      <c r="HB733" s="3"/>
      <c r="HC733" s="3"/>
      <c r="HD733" s="3"/>
      <c r="HE733" s="3"/>
      <c r="HF733" s="3"/>
      <c r="HG733" s="3"/>
      <c r="HH733" s="3"/>
      <c r="HI733" s="3"/>
      <c r="HJ733" s="3"/>
      <c r="HK733" s="3"/>
      <c r="HL733" s="3"/>
      <c r="HM733" s="3"/>
      <c r="HN733" s="3"/>
      <c r="HO733" s="3"/>
      <c r="HP733" s="3"/>
      <c r="HQ733" s="3"/>
      <c r="HR733" s="3"/>
      <c r="HS733" s="3"/>
      <c r="HT733" s="3"/>
    </row>
    <row r="734">
      <c r="A734" s="14"/>
      <c r="B734" s="3"/>
      <c r="C734" s="3"/>
      <c r="D734" s="3"/>
      <c r="E734" s="3"/>
      <c r="F734" s="5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7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3"/>
      <c r="GG734" s="3"/>
      <c r="GH734" s="3"/>
      <c r="GI734" s="3"/>
      <c r="GJ734" s="3"/>
      <c r="GK734" s="3"/>
      <c r="GL734" s="3"/>
      <c r="GM734" s="3"/>
      <c r="GN734" s="3"/>
      <c r="GO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  <c r="GZ734" s="3"/>
      <c r="HA734" s="3"/>
      <c r="HB734" s="3"/>
      <c r="HC734" s="3"/>
      <c r="HD734" s="3"/>
      <c r="HE734" s="3"/>
      <c r="HF734" s="3"/>
      <c r="HG734" s="3"/>
      <c r="HH734" s="3"/>
      <c r="HI734" s="3"/>
      <c r="HJ734" s="3"/>
      <c r="HK734" s="3"/>
      <c r="HL734" s="3"/>
      <c r="HM734" s="3"/>
      <c r="HN734" s="3"/>
      <c r="HO734" s="3"/>
      <c r="HP734" s="3"/>
      <c r="HQ734" s="3"/>
      <c r="HR734" s="3"/>
      <c r="HS734" s="3"/>
      <c r="HT734" s="3"/>
    </row>
    <row r="735">
      <c r="A735" s="14"/>
      <c r="B735" s="3"/>
      <c r="C735" s="3"/>
      <c r="D735" s="3"/>
      <c r="E735" s="3"/>
      <c r="F735" s="5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7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D735" s="3"/>
      <c r="GE735" s="3"/>
      <c r="GF735" s="3"/>
      <c r="GG735" s="3"/>
      <c r="GH735" s="3"/>
      <c r="GI735" s="3"/>
      <c r="GJ735" s="3"/>
      <c r="GK735" s="3"/>
      <c r="GL735" s="3"/>
      <c r="GM735" s="3"/>
      <c r="GN735" s="3"/>
      <c r="GO735" s="3"/>
      <c r="GP735" s="3"/>
      <c r="GQ735" s="3"/>
      <c r="GR735" s="3"/>
      <c r="GS735" s="3"/>
      <c r="GT735" s="3"/>
      <c r="GU735" s="3"/>
      <c r="GV735" s="3"/>
      <c r="GW735" s="3"/>
      <c r="GX735" s="3"/>
      <c r="GY735" s="3"/>
      <c r="GZ735" s="3"/>
      <c r="HA735" s="3"/>
      <c r="HB735" s="3"/>
      <c r="HC735" s="3"/>
      <c r="HD735" s="3"/>
      <c r="HE735" s="3"/>
      <c r="HF735" s="3"/>
      <c r="HG735" s="3"/>
      <c r="HH735" s="3"/>
      <c r="HI735" s="3"/>
      <c r="HJ735" s="3"/>
      <c r="HK735" s="3"/>
      <c r="HL735" s="3"/>
      <c r="HM735" s="3"/>
      <c r="HN735" s="3"/>
      <c r="HO735" s="3"/>
      <c r="HP735" s="3"/>
      <c r="HQ735" s="3"/>
      <c r="HR735" s="3"/>
      <c r="HS735" s="3"/>
      <c r="HT735" s="3"/>
    </row>
    <row r="736">
      <c r="A736" s="14"/>
      <c r="B736" s="3"/>
      <c r="C736" s="3"/>
      <c r="D736" s="3"/>
      <c r="E736" s="3"/>
      <c r="F736" s="5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7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3"/>
      <c r="GG736" s="3"/>
      <c r="GH736" s="3"/>
      <c r="GI736" s="3"/>
      <c r="GJ736" s="3"/>
      <c r="GK736" s="3"/>
      <c r="GL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  <c r="GZ736" s="3"/>
      <c r="HA736" s="3"/>
      <c r="HB736" s="3"/>
      <c r="HC736" s="3"/>
      <c r="HD736" s="3"/>
      <c r="HE736" s="3"/>
      <c r="HF736" s="3"/>
      <c r="HG736" s="3"/>
      <c r="HH736" s="3"/>
      <c r="HI736" s="3"/>
      <c r="HJ736" s="3"/>
      <c r="HK736" s="3"/>
      <c r="HL736" s="3"/>
      <c r="HM736" s="3"/>
      <c r="HN736" s="3"/>
      <c r="HO736" s="3"/>
      <c r="HP736" s="3"/>
      <c r="HQ736" s="3"/>
      <c r="HR736" s="3"/>
      <c r="HS736" s="3"/>
      <c r="HT736" s="3"/>
    </row>
    <row r="737">
      <c r="A737" s="14"/>
      <c r="B737" s="3"/>
      <c r="C737" s="3"/>
      <c r="D737" s="3"/>
      <c r="E737" s="3"/>
      <c r="F737" s="5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7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D737" s="3"/>
      <c r="GE737" s="3"/>
      <c r="GF737" s="3"/>
      <c r="GG737" s="3"/>
      <c r="GH737" s="3"/>
      <c r="GI737" s="3"/>
      <c r="GJ737" s="3"/>
      <c r="GK737" s="3"/>
      <c r="GL737" s="3"/>
      <c r="GM737" s="3"/>
      <c r="GN737" s="3"/>
      <c r="GO737" s="3"/>
      <c r="GP737" s="3"/>
      <c r="GQ737" s="3"/>
      <c r="GR737" s="3"/>
      <c r="GS737" s="3"/>
      <c r="GT737" s="3"/>
      <c r="GU737" s="3"/>
      <c r="GV737" s="3"/>
      <c r="GW737" s="3"/>
      <c r="GX737" s="3"/>
      <c r="GY737" s="3"/>
      <c r="GZ737" s="3"/>
      <c r="HA737" s="3"/>
      <c r="HB737" s="3"/>
      <c r="HC737" s="3"/>
      <c r="HD737" s="3"/>
      <c r="HE737" s="3"/>
      <c r="HF737" s="3"/>
      <c r="HG737" s="3"/>
      <c r="HH737" s="3"/>
      <c r="HI737" s="3"/>
      <c r="HJ737" s="3"/>
      <c r="HK737" s="3"/>
      <c r="HL737" s="3"/>
      <c r="HM737" s="3"/>
      <c r="HN737" s="3"/>
      <c r="HO737" s="3"/>
      <c r="HP737" s="3"/>
      <c r="HQ737" s="3"/>
      <c r="HR737" s="3"/>
      <c r="HS737" s="3"/>
      <c r="HT737" s="3"/>
    </row>
    <row r="738">
      <c r="A738" s="14"/>
      <c r="B738" s="3"/>
      <c r="C738" s="3"/>
      <c r="D738" s="3"/>
      <c r="E738" s="3"/>
      <c r="F738" s="5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7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D738" s="3"/>
      <c r="GE738" s="3"/>
      <c r="GF738" s="3"/>
      <c r="GG738" s="3"/>
      <c r="GH738" s="3"/>
      <c r="GI738" s="3"/>
      <c r="GJ738" s="3"/>
      <c r="GK738" s="3"/>
      <c r="GL738" s="3"/>
      <c r="GM738" s="3"/>
      <c r="GN738" s="3"/>
      <c r="GO738" s="3"/>
      <c r="GP738" s="3"/>
      <c r="GQ738" s="3"/>
      <c r="GR738" s="3"/>
      <c r="GS738" s="3"/>
      <c r="GT738" s="3"/>
      <c r="GU738" s="3"/>
      <c r="GV738" s="3"/>
      <c r="GW738" s="3"/>
      <c r="GX738" s="3"/>
      <c r="GY738" s="3"/>
      <c r="GZ738" s="3"/>
      <c r="HA738" s="3"/>
      <c r="HB738" s="3"/>
      <c r="HC738" s="3"/>
      <c r="HD738" s="3"/>
      <c r="HE738" s="3"/>
      <c r="HF738" s="3"/>
      <c r="HG738" s="3"/>
      <c r="HH738" s="3"/>
      <c r="HI738" s="3"/>
      <c r="HJ738" s="3"/>
      <c r="HK738" s="3"/>
      <c r="HL738" s="3"/>
      <c r="HM738" s="3"/>
      <c r="HN738" s="3"/>
      <c r="HO738" s="3"/>
      <c r="HP738" s="3"/>
      <c r="HQ738" s="3"/>
      <c r="HR738" s="3"/>
      <c r="HS738" s="3"/>
      <c r="HT738" s="3"/>
    </row>
    <row r="739">
      <c r="A739" s="14"/>
      <c r="B739" s="3"/>
      <c r="C739" s="3"/>
      <c r="D739" s="3"/>
      <c r="E739" s="3"/>
      <c r="F739" s="5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7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  <c r="FZ739" s="3"/>
      <c r="GA739" s="3"/>
      <c r="GB739" s="3"/>
      <c r="GC739" s="3"/>
      <c r="GD739" s="3"/>
      <c r="GE739" s="3"/>
      <c r="GF739" s="3"/>
      <c r="GG739" s="3"/>
      <c r="GH739" s="3"/>
      <c r="GI739" s="3"/>
      <c r="GJ739" s="3"/>
      <c r="GK739" s="3"/>
      <c r="GL739" s="3"/>
      <c r="GM739" s="3"/>
      <c r="GN739" s="3"/>
      <c r="GO739" s="3"/>
      <c r="GP739" s="3"/>
      <c r="GQ739" s="3"/>
      <c r="GR739" s="3"/>
      <c r="GS739" s="3"/>
      <c r="GT739" s="3"/>
      <c r="GU739" s="3"/>
      <c r="GV739" s="3"/>
      <c r="GW739" s="3"/>
      <c r="GX739" s="3"/>
      <c r="GY739" s="3"/>
      <c r="GZ739" s="3"/>
      <c r="HA739" s="3"/>
      <c r="HB739" s="3"/>
      <c r="HC739" s="3"/>
      <c r="HD739" s="3"/>
      <c r="HE739" s="3"/>
      <c r="HF739" s="3"/>
      <c r="HG739" s="3"/>
      <c r="HH739" s="3"/>
      <c r="HI739" s="3"/>
      <c r="HJ739" s="3"/>
      <c r="HK739" s="3"/>
      <c r="HL739" s="3"/>
      <c r="HM739" s="3"/>
      <c r="HN739" s="3"/>
      <c r="HO739" s="3"/>
      <c r="HP739" s="3"/>
      <c r="HQ739" s="3"/>
      <c r="HR739" s="3"/>
      <c r="HS739" s="3"/>
      <c r="HT739" s="3"/>
    </row>
    <row r="740">
      <c r="A740" s="14"/>
      <c r="B740" s="3"/>
      <c r="C740" s="3"/>
      <c r="D740" s="3"/>
      <c r="E740" s="3"/>
      <c r="F740" s="5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7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D740" s="3"/>
      <c r="GE740" s="3"/>
      <c r="GF740" s="3"/>
      <c r="GG740" s="3"/>
      <c r="GH740" s="3"/>
      <c r="GI740" s="3"/>
      <c r="GJ740" s="3"/>
      <c r="GK740" s="3"/>
      <c r="GL740" s="3"/>
      <c r="GM740" s="3"/>
      <c r="GN740" s="3"/>
      <c r="GO740" s="3"/>
      <c r="GP740" s="3"/>
      <c r="GQ740" s="3"/>
      <c r="GR740" s="3"/>
      <c r="GS740" s="3"/>
      <c r="GT740" s="3"/>
      <c r="GU740" s="3"/>
      <c r="GV740" s="3"/>
      <c r="GW740" s="3"/>
      <c r="GX740" s="3"/>
      <c r="GY740" s="3"/>
      <c r="GZ740" s="3"/>
      <c r="HA740" s="3"/>
      <c r="HB740" s="3"/>
      <c r="HC740" s="3"/>
      <c r="HD740" s="3"/>
      <c r="HE740" s="3"/>
      <c r="HF740" s="3"/>
      <c r="HG740" s="3"/>
      <c r="HH740" s="3"/>
      <c r="HI740" s="3"/>
      <c r="HJ740" s="3"/>
      <c r="HK740" s="3"/>
      <c r="HL740" s="3"/>
      <c r="HM740" s="3"/>
      <c r="HN740" s="3"/>
      <c r="HO740" s="3"/>
      <c r="HP740" s="3"/>
      <c r="HQ740" s="3"/>
      <c r="HR740" s="3"/>
      <c r="HS740" s="3"/>
      <c r="HT740" s="3"/>
    </row>
    <row r="741">
      <c r="A741" s="14"/>
      <c r="B741" s="3"/>
      <c r="C741" s="3"/>
      <c r="D741" s="3"/>
      <c r="E741" s="3"/>
      <c r="F741" s="5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7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D741" s="3"/>
      <c r="GE741" s="3"/>
      <c r="GF741" s="3"/>
      <c r="GG741" s="3"/>
      <c r="GH741" s="3"/>
      <c r="GI741" s="3"/>
      <c r="GJ741" s="3"/>
      <c r="GK741" s="3"/>
      <c r="GL741" s="3"/>
      <c r="GM741" s="3"/>
      <c r="GN741" s="3"/>
      <c r="GO741" s="3"/>
      <c r="GP741" s="3"/>
      <c r="GQ741" s="3"/>
      <c r="GR741" s="3"/>
      <c r="GS741" s="3"/>
      <c r="GT741" s="3"/>
      <c r="GU741" s="3"/>
      <c r="GV741" s="3"/>
      <c r="GW741" s="3"/>
      <c r="GX741" s="3"/>
      <c r="GY741" s="3"/>
      <c r="GZ741" s="3"/>
      <c r="HA741" s="3"/>
      <c r="HB741" s="3"/>
      <c r="HC741" s="3"/>
      <c r="HD741" s="3"/>
      <c r="HE741" s="3"/>
      <c r="HF741" s="3"/>
      <c r="HG741" s="3"/>
      <c r="HH741" s="3"/>
      <c r="HI741" s="3"/>
      <c r="HJ741" s="3"/>
      <c r="HK741" s="3"/>
      <c r="HL741" s="3"/>
      <c r="HM741" s="3"/>
      <c r="HN741" s="3"/>
      <c r="HO741" s="3"/>
      <c r="HP741" s="3"/>
      <c r="HQ741" s="3"/>
      <c r="HR741" s="3"/>
      <c r="HS741" s="3"/>
      <c r="HT741" s="3"/>
    </row>
    <row r="742">
      <c r="A742" s="14"/>
      <c r="B742" s="3"/>
      <c r="C742" s="3"/>
      <c r="D742" s="3"/>
      <c r="E742" s="3"/>
      <c r="F742" s="5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7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3"/>
      <c r="GG742" s="3"/>
      <c r="GH742" s="3"/>
      <c r="GI742" s="3"/>
      <c r="GJ742" s="3"/>
      <c r="GK742" s="3"/>
      <c r="GL742" s="3"/>
      <c r="GM742" s="3"/>
      <c r="GN742" s="3"/>
      <c r="GO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  <c r="GZ742" s="3"/>
      <c r="HA742" s="3"/>
      <c r="HB742" s="3"/>
      <c r="HC742" s="3"/>
      <c r="HD742" s="3"/>
      <c r="HE742" s="3"/>
      <c r="HF742" s="3"/>
      <c r="HG742" s="3"/>
      <c r="HH742" s="3"/>
      <c r="HI742" s="3"/>
      <c r="HJ742" s="3"/>
      <c r="HK742" s="3"/>
      <c r="HL742" s="3"/>
      <c r="HM742" s="3"/>
      <c r="HN742" s="3"/>
      <c r="HO742" s="3"/>
      <c r="HP742" s="3"/>
      <c r="HQ742" s="3"/>
      <c r="HR742" s="3"/>
      <c r="HS742" s="3"/>
      <c r="HT742" s="3"/>
    </row>
    <row r="743">
      <c r="A743" s="14"/>
      <c r="B743" s="3"/>
      <c r="C743" s="3"/>
      <c r="D743" s="3"/>
      <c r="E743" s="3"/>
      <c r="F743" s="5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7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3"/>
      <c r="GG743" s="3"/>
      <c r="GH743" s="3"/>
      <c r="GI743" s="3"/>
      <c r="GJ743" s="3"/>
      <c r="GK743" s="3"/>
      <c r="GL743" s="3"/>
      <c r="GM743" s="3"/>
      <c r="GN743" s="3"/>
      <c r="GO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  <c r="GZ743" s="3"/>
      <c r="HA743" s="3"/>
      <c r="HB743" s="3"/>
      <c r="HC743" s="3"/>
      <c r="HD743" s="3"/>
      <c r="HE743" s="3"/>
      <c r="HF743" s="3"/>
      <c r="HG743" s="3"/>
      <c r="HH743" s="3"/>
      <c r="HI743" s="3"/>
      <c r="HJ743" s="3"/>
      <c r="HK743" s="3"/>
      <c r="HL743" s="3"/>
      <c r="HM743" s="3"/>
      <c r="HN743" s="3"/>
      <c r="HO743" s="3"/>
      <c r="HP743" s="3"/>
      <c r="HQ743" s="3"/>
      <c r="HR743" s="3"/>
      <c r="HS743" s="3"/>
      <c r="HT743" s="3"/>
    </row>
    <row r="744">
      <c r="A744" s="14"/>
      <c r="B744" s="3"/>
      <c r="C744" s="3"/>
      <c r="D744" s="3"/>
      <c r="E744" s="3"/>
      <c r="F744" s="5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7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D744" s="3"/>
      <c r="GE744" s="3"/>
      <c r="GF744" s="3"/>
      <c r="GG744" s="3"/>
      <c r="GH744" s="3"/>
      <c r="GI744" s="3"/>
      <c r="GJ744" s="3"/>
      <c r="GK744" s="3"/>
      <c r="GL744" s="3"/>
      <c r="GM744" s="3"/>
      <c r="GN744" s="3"/>
      <c r="GO744" s="3"/>
      <c r="GP744" s="3"/>
      <c r="GQ744" s="3"/>
      <c r="GR744" s="3"/>
      <c r="GS744" s="3"/>
      <c r="GT744" s="3"/>
      <c r="GU744" s="3"/>
      <c r="GV744" s="3"/>
      <c r="GW744" s="3"/>
      <c r="GX744" s="3"/>
      <c r="GY744" s="3"/>
      <c r="GZ744" s="3"/>
      <c r="HA744" s="3"/>
      <c r="HB744" s="3"/>
      <c r="HC744" s="3"/>
      <c r="HD744" s="3"/>
      <c r="HE744" s="3"/>
      <c r="HF744" s="3"/>
      <c r="HG744" s="3"/>
      <c r="HH744" s="3"/>
      <c r="HI744" s="3"/>
      <c r="HJ744" s="3"/>
      <c r="HK744" s="3"/>
      <c r="HL744" s="3"/>
      <c r="HM744" s="3"/>
      <c r="HN744" s="3"/>
      <c r="HO744" s="3"/>
      <c r="HP744" s="3"/>
      <c r="HQ744" s="3"/>
      <c r="HR744" s="3"/>
      <c r="HS744" s="3"/>
      <c r="HT744" s="3"/>
    </row>
    <row r="745">
      <c r="A745" s="14"/>
      <c r="B745" s="3"/>
      <c r="C745" s="3"/>
      <c r="D745" s="3"/>
      <c r="E745" s="3"/>
      <c r="F745" s="5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7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D745" s="3"/>
      <c r="GE745" s="3"/>
      <c r="GF745" s="3"/>
      <c r="GG745" s="3"/>
      <c r="GH745" s="3"/>
      <c r="GI745" s="3"/>
      <c r="GJ745" s="3"/>
      <c r="GK745" s="3"/>
      <c r="GL745" s="3"/>
      <c r="GM745" s="3"/>
      <c r="GN745" s="3"/>
      <c r="GO745" s="3"/>
      <c r="GP745" s="3"/>
      <c r="GQ745" s="3"/>
      <c r="GR745" s="3"/>
      <c r="GS745" s="3"/>
      <c r="GT745" s="3"/>
      <c r="GU745" s="3"/>
      <c r="GV745" s="3"/>
      <c r="GW745" s="3"/>
      <c r="GX745" s="3"/>
      <c r="GY745" s="3"/>
      <c r="GZ745" s="3"/>
      <c r="HA745" s="3"/>
      <c r="HB745" s="3"/>
      <c r="HC745" s="3"/>
      <c r="HD745" s="3"/>
      <c r="HE745" s="3"/>
      <c r="HF745" s="3"/>
      <c r="HG745" s="3"/>
      <c r="HH745" s="3"/>
      <c r="HI745" s="3"/>
      <c r="HJ745" s="3"/>
      <c r="HK745" s="3"/>
      <c r="HL745" s="3"/>
      <c r="HM745" s="3"/>
      <c r="HN745" s="3"/>
      <c r="HO745" s="3"/>
      <c r="HP745" s="3"/>
      <c r="HQ745" s="3"/>
      <c r="HR745" s="3"/>
      <c r="HS745" s="3"/>
      <c r="HT745" s="3"/>
    </row>
    <row r="746">
      <c r="A746" s="14"/>
      <c r="B746" s="3"/>
      <c r="C746" s="3"/>
      <c r="D746" s="3"/>
      <c r="E746" s="3"/>
      <c r="F746" s="5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7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D746" s="3"/>
      <c r="GE746" s="3"/>
      <c r="GF746" s="3"/>
      <c r="GG746" s="3"/>
      <c r="GH746" s="3"/>
      <c r="GI746" s="3"/>
      <c r="GJ746" s="3"/>
      <c r="GK746" s="3"/>
      <c r="GL746" s="3"/>
      <c r="GM746" s="3"/>
      <c r="GN746" s="3"/>
      <c r="GO746" s="3"/>
      <c r="GP746" s="3"/>
      <c r="GQ746" s="3"/>
      <c r="GR746" s="3"/>
      <c r="GS746" s="3"/>
      <c r="GT746" s="3"/>
      <c r="GU746" s="3"/>
      <c r="GV746" s="3"/>
      <c r="GW746" s="3"/>
      <c r="GX746" s="3"/>
      <c r="GY746" s="3"/>
      <c r="GZ746" s="3"/>
      <c r="HA746" s="3"/>
      <c r="HB746" s="3"/>
      <c r="HC746" s="3"/>
      <c r="HD746" s="3"/>
      <c r="HE746" s="3"/>
      <c r="HF746" s="3"/>
      <c r="HG746" s="3"/>
      <c r="HH746" s="3"/>
      <c r="HI746" s="3"/>
      <c r="HJ746" s="3"/>
      <c r="HK746" s="3"/>
      <c r="HL746" s="3"/>
      <c r="HM746" s="3"/>
      <c r="HN746" s="3"/>
      <c r="HO746" s="3"/>
      <c r="HP746" s="3"/>
      <c r="HQ746" s="3"/>
      <c r="HR746" s="3"/>
      <c r="HS746" s="3"/>
      <c r="HT746" s="3"/>
    </row>
    <row r="747">
      <c r="A747" s="14"/>
      <c r="B747" s="3"/>
      <c r="C747" s="3"/>
      <c r="D747" s="3"/>
      <c r="E747" s="3"/>
      <c r="F747" s="5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7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/>
      <c r="GB747" s="3"/>
      <c r="GC747" s="3"/>
      <c r="GD747" s="3"/>
      <c r="GE747" s="3"/>
      <c r="GF747" s="3"/>
      <c r="GG747" s="3"/>
      <c r="GH747" s="3"/>
      <c r="GI747" s="3"/>
      <c r="GJ747" s="3"/>
      <c r="GK747" s="3"/>
      <c r="GL747" s="3"/>
      <c r="GM747" s="3"/>
      <c r="GN747" s="3"/>
      <c r="GO747" s="3"/>
      <c r="GP747" s="3"/>
      <c r="GQ747" s="3"/>
      <c r="GR747" s="3"/>
      <c r="GS747" s="3"/>
      <c r="GT747" s="3"/>
      <c r="GU747" s="3"/>
      <c r="GV747" s="3"/>
      <c r="GW747" s="3"/>
      <c r="GX747" s="3"/>
      <c r="GY747" s="3"/>
      <c r="GZ747" s="3"/>
      <c r="HA747" s="3"/>
      <c r="HB747" s="3"/>
      <c r="HC747" s="3"/>
      <c r="HD747" s="3"/>
      <c r="HE747" s="3"/>
      <c r="HF747" s="3"/>
      <c r="HG747" s="3"/>
      <c r="HH747" s="3"/>
      <c r="HI747" s="3"/>
      <c r="HJ747" s="3"/>
      <c r="HK747" s="3"/>
      <c r="HL747" s="3"/>
      <c r="HM747" s="3"/>
      <c r="HN747" s="3"/>
      <c r="HO747" s="3"/>
      <c r="HP747" s="3"/>
      <c r="HQ747" s="3"/>
      <c r="HR747" s="3"/>
      <c r="HS747" s="3"/>
      <c r="HT747" s="3"/>
    </row>
    <row r="748">
      <c r="A748" s="14"/>
      <c r="B748" s="3"/>
      <c r="C748" s="3"/>
      <c r="D748" s="3"/>
      <c r="E748" s="3"/>
      <c r="F748" s="5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7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  <c r="FZ748" s="3"/>
      <c r="GA748" s="3"/>
      <c r="GB748" s="3"/>
      <c r="GC748" s="3"/>
      <c r="GD748" s="3"/>
      <c r="GE748" s="3"/>
      <c r="GF748" s="3"/>
      <c r="GG748" s="3"/>
      <c r="GH748" s="3"/>
      <c r="GI748" s="3"/>
      <c r="GJ748" s="3"/>
      <c r="GK748" s="3"/>
      <c r="GL748" s="3"/>
      <c r="GM748" s="3"/>
      <c r="GN748" s="3"/>
      <c r="GO748" s="3"/>
      <c r="GP748" s="3"/>
      <c r="GQ748" s="3"/>
      <c r="GR748" s="3"/>
      <c r="GS748" s="3"/>
      <c r="GT748" s="3"/>
      <c r="GU748" s="3"/>
      <c r="GV748" s="3"/>
      <c r="GW748" s="3"/>
      <c r="GX748" s="3"/>
      <c r="GY748" s="3"/>
      <c r="GZ748" s="3"/>
      <c r="HA748" s="3"/>
      <c r="HB748" s="3"/>
      <c r="HC748" s="3"/>
      <c r="HD748" s="3"/>
      <c r="HE748" s="3"/>
      <c r="HF748" s="3"/>
      <c r="HG748" s="3"/>
      <c r="HH748" s="3"/>
      <c r="HI748" s="3"/>
      <c r="HJ748" s="3"/>
      <c r="HK748" s="3"/>
      <c r="HL748" s="3"/>
      <c r="HM748" s="3"/>
      <c r="HN748" s="3"/>
      <c r="HO748" s="3"/>
      <c r="HP748" s="3"/>
      <c r="HQ748" s="3"/>
      <c r="HR748" s="3"/>
      <c r="HS748" s="3"/>
      <c r="HT748" s="3"/>
    </row>
    <row r="749">
      <c r="A749" s="14"/>
      <c r="B749" s="3"/>
      <c r="C749" s="3"/>
      <c r="D749" s="3"/>
      <c r="E749" s="3"/>
      <c r="F749" s="5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7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D749" s="3"/>
      <c r="GE749" s="3"/>
      <c r="GF749" s="3"/>
      <c r="GG749" s="3"/>
      <c r="GH749" s="3"/>
      <c r="GI749" s="3"/>
      <c r="GJ749" s="3"/>
      <c r="GK749" s="3"/>
      <c r="GL749" s="3"/>
      <c r="GM749" s="3"/>
      <c r="GN749" s="3"/>
      <c r="GO749" s="3"/>
      <c r="GP749" s="3"/>
      <c r="GQ749" s="3"/>
      <c r="GR749" s="3"/>
      <c r="GS749" s="3"/>
      <c r="GT749" s="3"/>
      <c r="GU749" s="3"/>
      <c r="GV749" s="3"/>
      <c r="GW749" s="3"/>
      <c r="GX749" s="3"/>
      <c r="GY749" s="3"/>
      <c r="GZ749" s="3"/>
      <c r="HA749" s="3"/>
      <c r="HB749" s="3"/>
      <c r="HC749" s="3"/>
      <c r="HD749" s="3"/>
      <c r="HE749" s="3"/>
      <c r="HF749" s="3"/>
      <c r="HG749" s="3"/>
      <c r="HH749" s="3"/>
      <c r="HI749" s="3"/>
      <c r="HJ749" s="3"/>
      <c r="HK749" s="3"/>
      <c r="HL749" s="3"/>
      <c r="HM749" s="3"/>
      <c r="HN749" s="3"/>
      <c r="HO749" s="3"/>
      <c r="HP749" s="3"/>
      <c r="HQ749" s="3"/>
      <c r="HR749" s="3"/>
      <c r="HS749" s="3"/>
      <c r="HT749" s="3"/>
    </row>
    <row r="750">
      <c r="A750" s="14"/>
      <c r="B750" s="3"/>
      <c r="C750" s="3"/>
      <c r="D750" s="3"/>
      <c r="E750" s="3"/>
      <c r="F750" s="5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7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  <c r="FZ750" s="3"/>
      <c r="GA750" s="3"/>
      <c r="GB750" s="3"/>
      <c r="GC750" s="3"/>
      <c r="GD750" s="3"/>
      <c r="GE750" s="3"/>
      <c r="GF750" s="3"/>
      <c r="GG750" s="3"/>
      <c r="GH750" s="3"/>
      <c r="GI750" s="3"/>
      <c r="GJ750" s="3"/>
      <c r="GK750" s="3"/>
      <c r="GL750" s="3"/>
      <c r="GM750" s="3"/>
      <c r="GN750" s="3"/>
      <c r="GO750" s="3"/>
      <c r="GP750" s="3"/>
      <c r="GQ750" s="3"/>
      <c r="GR750" s="3"/>
      <c r="GS750" s="3"/>
      <c r="GT750" s="3"/>
      <c r="GU750" s="3"/>
      <c r="GV750" s="3"/>
      <c r="GW750" s="3"/>
      <c r="GX750" s="3"/>
      <c r="GY750" s="3"/>
      <c r="GZ750" s="3"/>
      <c r="HA750" s="3"/>
      <c r="HB750" s="3"/>
      <c r="HC750" s="3"/>
      <c r="HD750" s="3"/>
      <c r="HE750" s="3"/>
      <c r="HF750" s="3"/>
      <c r="HG750" s="3"/>
      <c r="HH750" s="3"/>
      <c r="HI750" s="3"/>
      <c r="HJ750" s="3"/>
      <c r="HK750" s="3"/>
      <c r="HL750" s="3"/>
      <c r="HM750" s="3"/>
      <c r="HN750" s="3"/>
      <c r="HO750" s="3"/>
      <c r="HP750" s="3"/>
      <c r="HQ750" s="3"/>
      <c r="HR750" s="3"/>
      <c r="HS750" s="3"/>
      <c r="HT750" s="3"/>
    </row>
    <row r="751">
      <c r="A751" s="14"/>
      <c r="B751" s="3"/>
      <c r="C751" s="3"/>
      <c r="D751" s="3"/>
      <c r="E751" s="3"/>
      <c r="F751" s="5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7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3"/>
      <c r="GG751" s="3"/>
      <c r="GH751" s="3"/>
      <c r="GI751" s="3"/>
      <c r="GJ751" s="3"/>
      <c r="GK751" s="3"/>
      <c r="GL751" s="3"/>
      <c r="GM751" s="3"/>
      <c r="GN751" s="3"/>
      <c r="GO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  <c r="GZ751" s="3"/>
      <c r="HA751" s="3"/>
      <c r="HB751" s="3"/>
      <c r="HC751" s="3"/>
      <c r="HD751" s="3"/>
      <c r="HE751" s="3"/>
      <c r="HF751" s="3"/>
      <c r="HG751" s="3"/>
      <c r="HH751" s="3"/>
      <c r="HI751" s="3"/>
      <c r="HJ751" s="3"/>
      <c r="HK751" s="3"/>
      <c r="HL751" s="3"/>
      <c r="HM751" s="3"/>
      <c r="HN751" s="3"/>
      <c r="HO751" s="3"/>
      <c r="HP751" s="3"/>
      <c r="HQ751" s="3"/>
      <c r="HR751" s="3"/>
      <c r="HS751" s="3"/>
      <c r="HT751" s="3"/>
    </row>
    <row r="752">
      <c r="A752" s="14"/>
      <c r="B752" s="3"/>
      <c r="C752" s="3"/>
      <c r="D752" s="3"/>
      <c r="E752" s="3"/>
      <c r="F752" s="5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7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D752" s="3"/>
      <c r="GE752" s="3"/>
      <c r="GF752" s="3"/>
      <c r="GG752" s="3"/>
      <c r="GH752" s="3"/>
      <c r="GI752" s="3"/>
      <c r="GJ752" s="3"/>
      <c r="GK752" s="3"/>
      <c r="GL752" s="3"/>
      <c r="GM752" s="3"/>
      <c r="GN752" s="3"/>
      <c r="GO752" s="3"/>
      <c r="GP752" s="3"/>
      <c r="GQ752" s="3"/>
      <c r="GR752" s="3"/>
      <c r="GS752" s="3"/>
      <c r="GT752" s="3"/>
      <c r="GU752" s="3"/>
      <c r="GV752" s="3"/>
      <c r="GW752" s="3"/>
      <c r="GX752" s="3"/>
      <c r="GY752" s="3"/>
      <c r="GZ752" s="3"/>
      <c r="HA752" s="3"/>
      <c r="HB752" s="3"/>
      <c r="HC752" s="3"/>
      <c r="HD752" s="3"/>
      <c r="HE752" s="3"/>
      <c r="HF752" s="3"/>
      <c r="HG752" s="3"/>
      <c r="HH752" s="3"/>
      <c r="HI752" s="3"/>
      <c r="HJ752" s="3"/>
      <c r="HK752" s="3"/>
      <c r="HL752" s="3"/>
      <c r="HM752" s="3"/>
      <c r="HN752" s="3"/>
      <c r="HO752" s="3"/>
      <c r="HP752" s="3"/>
      <c r="HQ752" s="3"/>
      <c r="HR752" s="3"/>
      <c r="HS752" s="3"/>
      <c r="HT752" s="3"/>
    </row>
    <row r="753">
      <c r="A753" s="14"/>
      <c r="B753" s="3"/>
      <c r="C753" s="3"/>
      <c r="D753" s="3"/>
      <c r="E753" s="3"/>
      <c r="F753" s="5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7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D753" s="3"/>
      <c r="GE753" s="3"/>
      <c r="GF753" s="3"/>
      <c r="GG753" s="3"/>
      <c r="GH753" s="3"/>
      <c r="GI753" s="3"/>
      <c r="GJ753" s="3"/>
      <c r="GK753" s="3"/>
      <c r="GL753" s="3"/>
      <c r="GM753" s="3"/>
      <c r="GN753" s="3"/>
      <c r="GO753" s="3"/>
      <c r="GP753" s="3"/>
      <c r="GQ753" s="3"/>
      <c r="GR753" s="3"/>
      <c r="GS753" s="3"/>
      <c r="GT753" s="3"/>
      <c r="GU753" s="3"/>
      <c r="GV753" s="3"/>
      <c r="GW753" s="3"/>
      <c r="GX753" s="3"/>
      <c r="GY753" s="3"/>
      <c r="GZ753" s="3"/>
      <c r="HA753" s="3"/>
      <c r="HB753" s="3"/>
      <c r="HC753" s="3"/>
      <c r="HD753" s="3"/>
      <c r="HE753" s="3"/>
      <c r="HF753" s="3"/>
      <c r="HG753" s="3"/>
      <c r="HH753" s="3"/>
      <c r="HI753" s="3"/>
      <c r="HJ753" s="3"/>
      <c r="HK753" s="3"/>
      <c r="HL753" s="3"/>
      <c r="HM753" s="3"/>
      <c r="HN753" s="3"/>
      <c r="HO753" s="3"/>
      <c r="HP753" s="3"/>
      <c r="HQ753" s="3"/>
      <c r="HR753" s="3"/>
      <c r="HS753" s="3"/>
      <c r="HT753" s="3"/>
    </row>
    <row r="754">
      <c r="A754" s="14"/>
      <c r="B754" s="3"/>
      <c r="C754" s="3"/>
      <c r="D754" s="3"/>
      <c r="E754" s="3"/>
      <c r="F754" s="5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7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D754" s="3"/>
      <c r="GE754" s="3"/>
      <c r="GF754" s="3"/>
      <c r="GG754" s="3"/>
      <c r="GH754" s="3"/>
      <c r="GI754" s="3"/>
      <c r="GJ754" s="3"/>
      <c r="GK754" s="3"/>
      <c r="GL754" s="3"/>
      <c r="GM754" s="3"/>
      <c r="GN754" s="3"/>
      <c r="GO754" s="3"/>
      <c r="GP754" s="3"/>
      <c r="GQ754" s="3"/>
      <c r="GR754" s="3"/>
      <c r="GS754" s="3"/>
      <c r="GT754" s="3"/>
      <c r="GU754" s="3"/>
      <c r="GV754" s="3"/>
      <c r="GW754" s="3"/>
      <c r="GX754" s="3"/>
      <c r="GY754" s="3"/>
      <c r="GZ754" s="3"/>
      <c r="HA754" s="3"/>
      <c r="HB754" s="3"/>
      <c r="HC754" s="3"/>
      <c r="HD754" s="3"/>
      <c r="HE754" s="3"/>
      <c r="HF754" s="3"/>
      <c r="HG754" s="3"/>
      <c r="HH754" s="3"/>
      <c r="HI754" s="3"/>
      <c r="HJ754" s="3"/>
      <c r="HK754" s="3"/>
      <c r="HL754" s="3"/>
      <c r="HM754" s="3"/>
      <c r="HN754" s="3"/>
      <c r="HO754" s="3"/>
      <c r="HP754" s="3"/>
      <c r="HQ754" s="3"/>
      <c r="HR754" s="3"/>
      <c r="HS754" s="3"/>
      <c r="HT754" s="3"/>
    </row>
    <row r="755">
      <c r="A755" s="14"/>
      <c r="B755" s="3"/>
      <c r="C755" s="3"/>
      <c r="D755" s="3"/>
      <c r="E755" s="3"/>
      <c r="F755" s="5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7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  <c r="FZ755" s="3"/>
      <c r="GA755" s="3"/>
      <c r="GB755" s="3"/>
      <c r="GC755" s="3"/>
      <c r="GD755" s="3"/>
      <c r="GE755" s="3"/>
      <c r="GF755" s="3"/>
      <c r="GG755" s="3"/>
      <c r="GH755" s="3"/>
      <c r="GI755" s="3"/>
      <c r="GJ755" s="3"/>
      <c r="GK755" s="3"/>
      <c r="GL755" s="3"/>
      <c r="GM755" s="3"/>
      <c r="GN755" s="3"/>
      <c r="GO755" s="3"/>
      <c r="GP755" s="3"/>
      <c r="GQ755" s="3"/>
      <c r="GR755" s="3"/>
      <c r="GS755" s="3"/>
      <c r="GT755" s="3"/>
      <c r="GU755" s="3"/>
      <c r="GV755" s="3"/>
      <c r="GW755" s="3"/>
      <c r="GX755" s="3"/>
      <c r="GY755" s="3"/>
      <c r="GZ755" s="3"/>
      <c r="HA755" s="3"/>
      <c r="HB755" s="3"/>
      <c r="HC755" s="3"/>
      <c r="HD755" s="3"/>
      <c r="HE755" s="3"/>
      <c r="HF755" s="3"/>
      <c r="HG755" s="3"/>
      <c r="HH755" s="3"/>
      <c r="HI755" s="3"/>
      <c r="HJ755" s="3"/>
      <c r="HK755" s="3"/>
      <c r="HL755" s="3"/>
      <c r="HM755" s="3"/>
      <c r="HN755" s="3"/>
      <c r="HO755" s="3"/>
      <c r="HP755" s="3"/>
      <c r="HQ755" s="3"/>
      <c r="HR755" s="3"/>
      <c r="HS755" s="3"/>
      <c r="HT755" s="3"/>
    </row>
    <row r="756">
      <c r="A756" s="14"/>
      <c r="B756" s="3"/>
      <c r="C756" s="3"/>
      <c r="D756" s="3"/>
      <c r="E756" s="3"/>
      <c r="F756" s="5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7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D756" s="3"/>
      <c r="GE756" s="3"/>
      <c r="GF756" s="3"/>
      <c r="GG756" s="3"/>
      <c r="GH756" s="3"/>
      <c r="GI756" s="3"/>
      <c r="GJ756" s="3"/>
      <c r="GK756" s="3"/>
      <c r="GL756" s="3"/>
      <c r="GM756" s="3"/>
      <c r="GN756" s="3"/>
      <c r="GO756" s="3"/>
      <c r="GP756" s="3"/>
      <c r="GQ756" s="3"/>
      <c r="GR756" s="3"/>
      <c r="GS756" s="3"/>
      <c r="GT756" s="3"/>
      <c r="GU756" s="3"/>
      <c r="GV756" s="3"/>
      <c r="GW756" s="3"/>
      <c r="GX756" s="3"/>
      <c r="GY756" s="3"/>
      <c r="GZ756" s="3"/>
      <c r="HA756" s="3"/>
      <c r="HB756" s="3"/>
      <c r="HC756" s="3"/>
      <c r="HD756" s="3"/>
      <c r="HE756" s="3"/>
      <c r="HF756" s="3"/>
      <c r="HG756" s="3"/>
      <c r="HH756" s="3"/>
      <c r="HI756" s="3"/>
      <c r="HJ756" s="3"/>
      <c r="HK756" s="3"/>
      <c r="HL756" s="3"/>
      <c r="HM756" s="3"/>
      <c r="HN756" s="3"/>
      <c r="HO756" s="3"/>
      <c r="HP756" s="3"/>
      <c r="HQ756" s="3"/>
      <c r="HR756" s="3"/>
      <c r="HS756" s="3"/>
      <c r="HT756" s="3"/>
    </row>
    <row r="757">
      <c r="A757" s="14"/>
      <c r="B757" s="3"/>
      <c r="C757" s="3"/>
      <c r="D757" s="3"/>
      <c r="E757" s="3"/>
      <c r="F757" s="5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7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D757" s="3"/>
      <c r="GE757" s="3"/>
      <c r="GF757" s="3"/>
      <c r="GG757" s="3"/>
      <c r="GH757" s="3"/>
      <c r="GI757" s="3"/>
      <c r="GJ757" s="3"/>
      <c r="GK757" s="3"/>
      <c r="GL757" s="3"/>
      <c r="GM757" s="3"/>
      <c r="GN757" s="3"/>
      <c r="GO757" s="3"/>
      <c r="GP757" s="3"/>
      <c r="GQ757" s="3"/>
      <c r="GR757" s="3"/>
      <c r="GS757" s="3"/>
      <c r="GT757" s="3"/>
      <c r="GU757" s="3"/>
      <c r="GV757" s="3"/>
      <c r="GW757" s="3"/>
      <c r="GX757" s="3"/>
      <c r="GY757" s="3"/>
      <c r="GZ757" s="3"/>
      <c r="HA757" s="3"/>
      <c r="HB757" s="3"/>
      <c r="HC757" s="3"/>
      <c r="HD757" s="3"/>
      <c r="HE757" s="3"/>
      <c r="HF757" s="3"/>
      <c r="HG757" s="3"/>
      <c r="HH757" s="3"/>
      <c r="HI757" s="3"/>
      <c r="HJ757" s="3"/>
      <c r="HK757" s="3"/>
      <c r="HL757" s="3"/>
      <c r="HM757" s="3"/>
      <c r="HN757" s="3"/>
      <c r="HO757" s="3"/>
      <c r="HP757" s="3"/>
      <c r="HQ757" s="3"/>
      <c r="HR757" s="3"/>
      <c r="HS757" s="3"/>
      <c r="HT757" s="3"/>
    </row>
    <row r="758">
      <c r="A758" s="14"/>
      <c r="B758" s="3"/>
      <c r="C758" s="3"/>
      <c r="D758" s="3"/>
      <c r="E758" s="3"/>
      <c r="F758" s="5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7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D758" s="3"/>
      <c r="GE758" s="3"/>
      <c r="GF758" s="3"/>
      <c r="GG758" s="3"/>
      <c r="GH758" s="3"/>
      <c r="GI758" s="3"/>
      <c r="GJ758" s="3"/>
      <c r="GK758" s="3"/>
      <c r="GL758" s="3"/>
      <c r="GM758" s="3"/>
      <c r="GN758" s="3"/>
      <c r="GO758" s="3"/>
      <c r="GP758" s="3"/>
      <c r="GQ758" s="3"/>
      <c r="GR758" s="3"/>
      <c r="GS758" s="3"/>
      <c r="GT758" s="3"/>
      <c r="GU758" s="3"/>
      <c r="GV758" s="3"/>
      <c r="GW758" s="3"/>
      <c r="GX758" s="3"/>
      <c r="GY758" s="3"/>
      <c r="GZ758" s="3"/>
      <c r="HA758" s="3"/>
      <c r="HB758" s="3"/>
      <c r="HC758" s="3"/>
      <c r="HD758" s="3"/>
      <c r="HE758" s="3"/>
      <c r="HF758" s="3"/>
      <c r="HG758" s="3"/>
      <c r="HH758" s="3"/>
      <c r="HI758" s="3"/>
      <c r="HJ758" s="3"/>
      <c r="HK758" s="3"/>
      <c r="HL758" s="3"/>
      <c r="HM758" s="3"/>
      <c r="HN758" s="3"/>
      <c r="HO758" s="3"/>
      <c r="HP758" s="3"/>
      <c r="HQ758" s="3"/>
      <c r="HR758" s="3"/>
      <c r="HS758" s="3"/>
      <c r="HT758" s="3"/>
    </row>
    <row r="759">
      <c r="A759" s="14"/>
      <c r="B759" s="3"/>
      <c r="C759" s="3"/>
      <c r="D759" s="3"/>
      <c r="E759" s="3"/>
      <c r="F759" s="5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7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D759" s="3"/>
      <c r="GE759" s="3"/>
      <c r="GF759" s="3"/>
      <c r="GG759" s="3"/>
      <c r="GH759" s="3"/>
      <c r="GI759" s="3"/>
      <c r="GJ759" s="3"/>
      <c r="GK759" s="3"/>
      <c r="GL759" s="3"/>
      <c r="GM759" s="3"/>
      <c r="GN759" s="3"/>
      <c r="GO759" s="3"/>
      <c r="GP759" s="3"/>
      <c r="GQ759" s="3"/>
      <c r="GR759" s="3"/>
      <c r="GS759" s="3"/>
      <c r="GT759" s="3"/>
      <c r="GU759" s="3"/>
      <c r="GV759" s="3"/>
      <c r="GW759" s="3"/>
      <c r="GX759" s="3"/>
      <c r="GY759" s="3"/>
      <c r="GZ759" s="3"/>
      <c r="HA759" s="3"/>
      <c r="HB759" s="3"/>
      <c r="HC759" s="3"/>
      <c r="HD759" s="3"/>
      <c r="HE759" s="3"/>
      <c r="HF759" s="3"/>
      <c r="HG759" s="3"/>
      <c r="HH759" s="3"/>
      <c r="HI759" s="3"/>
      <c r="HJ759" s="3"/>
      <c r="HK759" s="3"/>
      <c r="HL759" s="3"/>
      <c r="HM759" s="3"/>
      <c r="HN759" s="3"/>
      <c r="HO759" s="3"/>
      <c r="HP759" s="3"/>
      <c r="HQ759" s="3"/>
      <c r="HR759" s="3"/>
      <c r="HS759" s="3"/>
      <c r="HT759" s="3"/>
    </row>
    <row r="760">
      <c r="A760" s="14"/>
      <c r="B760" s="3"/>
      <c r="C760" s="3"/>
      <c r="D760" s="3"/>
      <c r="E760" s="3"/>
      <c r="F760" s="5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7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D760" s="3"/>
      <c r="GE760" s="3"/>
      <c r="GF760" s="3"/>
      <c r="GG760" s="3"/>
      <c r="GH760" s="3"/>
      <c r="GI760" s="3"/>
      <c r="GJ760" s="3"/>
      <c r="GK760" s="3"/>
      <c r="GL760" s="3"/>
      <c r="GM760" s="3"/>
      <c r="GN760" s="3"/>
      <c r="GO760" s="3"/>
      <c r="GP760" s="3"/>
      <c r="GQ760" s="3"/>
      <c r="GR760" s="3"/>
      <c r="GS760" s="3"/>
      <c r="GT760" s="3"/>
      <c r="GU760" s="3"/>
      <c r="GV760" s="3"/>
      <c r="GW760" s="3"/>
      <c r="GX760" s="3"/>
      <c r="GY760" s="3"/>
      <c r="GZ760" s="3"/>
      <c r="HA760" s="3"/>
      <c r="HB760" s="3"/>
      <c r="HC760" s="3"/>
      <c r="HD760" s="3"/>
      <c r="HE760" s="3"/>
      <c r="HF760" s="3"/>
      <c r="HG760" s="3"/>
      <c r="HH760" s="3"/>
      <c r="HI760" s="3"/>
      <c r="HJ760" s="3"/>
      <c r="HK760" s="3"/>
      <c r="HL760" s="3"/>
      <c r="HM760" s="3"/>
      <c r="HN760" s="3"/>
      <c r="HO760" s="3"/>
      <c r="HP760" s="3"/>
      <c r="HQ760" s="3"/>
      <c r="HR760" s="3"/>
      <c r="HS760" s="3"/>
      <c r="HT760" s="3"/>
    </row>
    <row r="761">
      <c r="A761" s="14"/>
      <c r="B761" s="3"/>
      <c r="C761" s="3"/>
      <c r="D761" s="3"/>
      <c r="E761" s="3"/>
      <c r="F761" s="5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7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D761" s="3"/>
      <c r="GE761" s="3"/>
      <c r="GF761" s="3"/>
      <c r="GG761" s="3"/>
      <c r="GH761" s="3"/>
      <c r="GI761" s="3"/>
      <c r="GJ761" s="3"/>
      <c r="GK761" s="3"/>
      <c r="GL761" s="3"/>
      <c r="GM761" s="3"/>
      <c r="GN761" s="3"/>
      <c r="GO761" s="3"/>
      <c r="GP761" s="3"/>
      <c r="GQ761" s="3"/>
      <c r="GR761" s="3"/>
      <c r="GS761" s="3"/>
      <c r="GT761" s="3"/>
      <c r="GU761" s="3"/>
      <c r="GV761" s="3"/>
      <c r="GW761" s="3"/>
      <c r="GX761" s="3"/>
      <c r="GY761" s="3"/>
      <c r="GZ761" s="3"/>
      <c r="HA761" s="3"/>
      <c r="HB761" s="3"/>
      <c r="HC761" s="3"/>
      <c r="HD761" s="3"/>
      <c r="HE761" s="3"/>
      <c r="HF761" s="3"/>
      <c r="HG761" s="3"/>
      <c r="HH761" s="3"/>
      <c r="HI761" s="3"/>
      <c r="HJ761" s="3"/>
      <c r="HK761" s="3"/>
      <c r="HL761" s="3"/>
      <c r="HM761" s="3"/>
      <c r="HN761" s="3"/>
      <c r="HO761" s="3"/>
      <c r="HP761" s="3"/>
      <c r="HQ761" s="3"/>
      <c r="HR761" s="3"/>
      <c r="HS761" s="3"/>
      <c r="HT761" s="3"/>
    </row>
    <row r="762">
      <c r="A762" s="14"/>
      <c r="B762" s="3"/>
      <c r="C762" s="3"/>
      <c r="D762" s="3"/>
      <c r="E762" s="3"/>
      <c r="F762" s="5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7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  <c r="GH762" s="3"/>
      <c r="GI762" s="3"/>
      <c r="GJ762" s="3"/>
      <c r="GK762" s="3"/>
      <c r="GL762" s="3"/>
      <c r="GM762" s="3"/>
      <c r="GN762" s="3"/>
      <c r="GO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  <c r="GZ762" s="3"/>
      <c r="HA762" s="3"/>
      <c r="HB762" s="3"/>
      <c r="HC762" s="3"/>
      <c r="HD762" s="3"/>
      <c r="HE762" s="3"/>
      <c r="HF762" s="3"/>
      <c r="HG762" s="3"/>
      <c r="HH762" s="3"/>
      <c r="HI762" s="3"/>
      <c r="HJ762" s="3"/>
      <c r="HK762" s="3"/>
      <c r="HL762" s="3"/>
      <c r="HM762" s="3"/>
      <c r="HN762" s="3"/>
      <c r="HO762" s="3"/>
      <c r="HP762" s="3"/>
      <c r="HQ762" s="3"/>
      <c r="HR762" s="3"/>
      <c r="HS762" s="3"/>
      <c r="HT762" s="3"/>
    </row>
    <row r="763">
      <c r="A763" s="14"/>
      <c r="B763" s="3"/>
      <c r="C763" s="3"/>
      <c r="D763" s="3"/>
      <c r="E763" s="3"/>
      <c r="F763" s="5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7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D763" s="3"/>
      <c r="GE763" s="3"/>
      <c r="GF763" s="3"/>
      <c r="GG763" s="3"/>
      <c r="GH763" s="3"/>
      <c r="GI763" s="3"/>
      <c r="GJ763" s="3"/>
      <c r="GK763" s="3"/>
      <c r="GL763" s="3"/>
      <c r="GM763" s="3"/>
      <c r="GN763" s="3"/>
      <c r="GO763" s="3"/>
      <c r="GP763" s="3"/>
      <c r="GQ763" s="3"/>
      <c r="GR763" s="3"/>
      <c r="GS763" s="3"/>
      <c r="GT763" s="3"/>
      <c r="GU763" s="3"/>
      <c r="GV763" s="3"/>
      <c r="GW763" s="3"/>
      <c r="GX763" s="3"/>
      <c r="GY763" s="3"/>
      <c r="GZ763" s="3"/>
      <c r="HA763" s="3"/>
      <c r="HB763" s="3"/>
      <c r="HC763" s="3"/>
      <c r="HD763" s="3"/>
      <c r="HE763" s="3"/>
      <c r="HF763" s="3"/>
      <c r="HG763" s="3"/>
      <c r="HH763" s="3"/>
      <c r="HI763" s="3"/>
      <c r="HJ763" s="3"/>
      <c r="HK763" s="3"/>
      <c r="HL763" s="3"/>
      <c r="HM763" s="3"/>
      <c r="HN763" s="3"/>
      <c r="HO763" s="3"/>
      <c r="HP763" s="3"/>
      <c r="HQ763" s="3"/>
      <c r="HR763" s="3"/>
      <c r="HS763" s="3"/>
      <c r="HT763" s="3"/>
    </row>
    <row r="764">
      <c r="A764" s="14"/>
      <c r="B764" s="3"/>
      <c r="C764" s="3"/>
      <c r="D764" s="3"/>
      <c r="E764" s="3"/>
      <c r="F764" s="5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7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3"/>
      <c r="GG764" s="3"/>
      <c r="GH764" s="3"/>
      <c r="GI764" s="3"/>
      <c r="GJ764" s="3"/>
      <c r="GK764" s="3"/>
      <c r="GL764" s="3"/>
      <c r="GM764" s="3"/>
      <c r="GN764" s="3"/>
      <c r="GO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  <c r="GZ764" s="3"/>
      <c r="HA764" s="3"/>
      <c r="HB764" s="3"/>
      <c r="HC764" s="3"/>
      <c r="HD764" s="3"/>
      <c r="HE764" s="3"/>
      <c r="HF764" s="3"/>
      <c r="HG764" s="3"/>
      <c r="HH764" s="3"/>
      <c r="HI764" s="3"/>
      <c r="HJ764" s="3"/>
      <c r="HK764" s="3"/>
      <c r="HL764" s="3"/>
      <c r="HM764" s="3"/>
      <c r="HN764" s="3"/>
      <c r="HO764" s="3"/>
      <c r="HP764" s="3"/>
      <c r="HQ764" s="3"/>
      <c r="HR764" s="3"/>
      <c r="HS764" s="3"/>
      <c r="HT764" s="3"/>
    </row>
    <row r="765">
      <c r="A765" s="14"/>
      <c r="B765" s="3"/>
      <c r="C765" s="3"/>
      <c r="D765" s="3"/>
      <c r="E765" s="3"/>
      <c r="F765" s="5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7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D765" s="3"/>
      <c r="GE765" s="3"/>
      <c r="GF765" s="3"/>
      <c r="GG765" s="3"/>
      <c r="GH765" s="3"/>
      <c r="GI765" s="3"/>
      <c r="GJ765" s="3"/>
      <c r="GK765" s="3"/>
      <c r="GL765" s="3"/>
      <c r="GM765" s="3"/>
      <c r="GN765" s="3"/>
      <c r="GO765" s="3"/>
      <c r="GP765" s="3"/>
      <c r="GQ765" s="3"/>
      <c r="GR765" s="3"/>
      <c r="GS765" s="3"/>
      <c r="GT765" s="3"/>
      <c r="GU765" s="3"/>
      <c r="GV765" s="3"/>
      <c r="GW765" s="3"/>
      <c r="GX765" s="3"/>
      <c r="GY765" s="3"/>
      <c r="GZ765" s="3"/>
      <c r="HA765" s="3"/>
      <c r="HB765" s="3"/>
      <c r="HC765" s="3"/>
      <c r="HD765" s="3"/>
      <c r="HE765" s="3"/>
      <c r="HF765" s="3"/>
      <c r="HG765" s="3"/>
      <c r="HH765" s="3"/>
      <c r="HI765" s="3"/>
      <c r="HJ765" s="3"/>
      <c r="HK765" s="3"/>
      <c r="HL765" s="3"/>
      <c r="HM765" s="3"/>
      <c r="HN765" s="3"/>
      <c r="HO765" s="3"/>
      <c r="HP765" s="3"/>
      <c r="HQ765" s="3"/>
      <c r="HR765" s="3"/>
      <c r="HS765" s="3"/>
      <c r="HT765" s="3"/>
    </row>
    <row r="766">
      <c r="A766" s="14"/>
      <c r="B766" s="3"/>
      <c r="C766" s="3"/>
      <c r="D766" s="3"/>
      <c r="E766" s="3"/>
      <c r="F766" s="5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7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D766" s="3"/>
      <c r="GE766" s="3"/>
      <c r="GF766" s="3"/>
      <c r="GG766" s="3"/>
      <c r="GH766" s="3"/>
      <c r="GI766" s="3"/>
      <c r="GJ766" s="3"/>
      <c r="GK766" s="3"/>
      <c r="GL766" s="3"/>
      <c r="GM766" s="3"/>
      <c r="GN766" s="3"/>
      <c r="GO766" s="3"/>
      <c r="GP766" s="3"/>
      <c r="GQ766" s="3"/>
      <c r="GR766" s="3"/>
      <c r="GS766" s="3"/>
      <c r="GT766" s="3"/>
      <c r="GU766" s="3"/>
      <c r="GV766" s="3"/>
      <c r="GW766" s="3"/>
      <c r="GX766" s="3"/>
      <c r="GY766" s="3"/>
      <c r="GZ766" s="3"/>
      <c r="HA766" s="3"/>
      <c r="HB766" s="3"/>
      <c r="HC766" s="3"/>
      <c r="HD766" s="3"/>
      <c r="HE766" s="3"/>
      <c r="HF766" s="3"/>
      <c r="HG766" s="3"/>
      <c r="HH766" s="3"/>
      <c r="HI766" s="3"/>
      <c r="HJ766" s="3"/>
      <c r="HK766" s="3"/>
      <c r="HL766" s="3"/>
      <c r="HM766" s="3"/>
      <c r="HN766" s="3"/>
      <c r="HO766" s="3"/>
      <c r="HP766" s="3"/>
      <c r="HQ766" s="3"/>
      <c r="HR766" s="3"/>
      <c r="HS766" s="3"/>
      <c r="HT766" s="3"/>
    </row>
    <row r="767">
      <c r="A767" s="14"/>
      <c r="B767" s="3"/>
      <c r="C767" s="3"/>
      <c r="D767" s="3"/>
      <c r="E767" s="3"/>
      <c r="F767" s="5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7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D767" s="3"/>
      <c r="GE767" s="3"/>
      <c r="GF767" s="3"/>
      <c r="GG767" s="3"/>
      <c r="GH767" s="3"/>
      <c r="GI767" s="3"/>
      <c r="GJ767" s="3"/>
      <c r="GK767" s="3"/>
      <c r="GL767" s="3"/>
      <c r="GM767" s="3"/>
      <c r="GN767" s="3"/>
      <c r="GO767" s="3"/>
      <c r="GP767" s="3"/>
      <c r="GQ767" s="3"/>
      <c r="GR767" s="3"/>
      <c r="GS767" s="3"/>
      <c r="GT767" s="3"/>
      <c r="GU767" s="3"/>
      <c r="GV767" s="3"/>
      <c r="GW767" s="3"/>
      <c r="GX767" s="3"/>
      <c r="GY767" s="3"/>
      <c r="GZ767" s="3"/>
      <c r="HA767" s="3"/>
      <c r="HB767" s="3"/>
      <c r="HC767" s="3"/>
      <c r="HD767" s="3"/>
      <c r="HE767" s="3"/>
      <c r="HF767" s="3"/>
      <c r="HG767" s="3"/>
      <c r="HH767" s="3"/>
      <c r="HI767" s="3"/>
      <c r="HJ767" s="3"/>
      <c r="HK767" s="3"/>
      <c r="HL767" s="3"/>
      <c r="HM767" s="3"/>
      <c r="HN767" s="3"/>
      <c r="HO767" s="3"/>
      <c r="HP767" s="3"/>
      <c r="HQ767" s="3"/>
      <c r="HR767" s="3"/>
      <c r="HS767" s="3"/>
      <c r="HT767" s="3"/>
    </row>
    <row r="768">
      <c r="A768" s="14"/>
      <c r="B768" s="3"/>
      <c r="C768" s="3"/>
      <c r="D768" s="3"/>
      <c r="E768" s="3"/>
      <c r="F768" s="5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7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  <c r="FZ768" s="3"/>
      <c r="GA768" s="3"/>
      <c r="GB768" s="3"/>
      <c r="GC768" s="3"/>
      <c r="GD768" s="3"/>
      <c r="GE768" s="3"/>
      <c r="GF768" s="3"/>
      <c r="GG768" s="3"/>
      <c r="GH768" s="3"/>
      <c r="GI768" s="3"/>
      <c r="GJ768" s="3"/>
      <c r="GK768" s="3"/>
      <c r="GL768" s="3"/>
      <c r="GM768" s="3"/>
      <c r="GN768" s="3"/>
      <c r="GO768" s="3"/>
      <c r="GP768" s="3"/>
      <c r="GQ768" s="3"/>
      <c r="GR768" s="3"/>
      <c r="GS768" s="3"/>
      <c r="GT768" s="3"/>
      <c r="GU768" s="3"/>
      <c r="GV768" s="3"/>
      <c r="GW768" s="3"/>
      <c r="GX768" s="3"/>
      <c r="GY768" s="3"/>
      <c r="GZ768" s="3"/>
      <c r="HA768" s="3"/>
      <c r="HB768" s="3"/>
      <c r="HC768" s="3"/>
      <c r="HD768" s="3"/>
      <c r="HE768" s="3"/>
      <c r="HF768" s="3"/>
      <c r="HG768" s="3"/>
      <c r="HH768" s="3"/>
      <c r="HI768" s="3"/>
      <c r="HJ768" s="3"/>
      <c r="HK768" s="3"/>
      <c r="HL768" s="3"/>
      <c r="HM768" s="3"/>
      <c r="HN768" s="3"/>
      <c r="HO768" s="3"/>
      <c r="HP768" s="3"/>
      <c r="HQ768" s="3"/>
      <c r="HR768" s="3"/>
      <c r="HS768" s="3"/>
      <c r="HT768" s="3"/>
    </row>
    <row r="769">
      <c r="A769" s="14"/>
      <c r="B769" s="3"/>
      <c r="C769" s="3"/>
      <c r="D769" s="3"/>
      <c r="E769" s="3"/>
      <c r="F769" s="5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7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D769" s="3"/>
      <c r="GE769" s="3"/>
      <c r="GF769" s="3"/>
      <c r="GG769" s="3"/>
      <c r="GH769" s="3"/>
      <c r="GI769" s="3"/>
      <c r="GJ769" s="3"/>
      <c r="GK769" s="3"/>
      <c r="GL769" s="3"/>
      <c r="GM769" s="3"/>
      <c r="GN769" s="3"/>
      <c r="GO769" s="3"/>
      <c r="GP769" s="3"/>
      <c r="GQ769" s="3"/>
      <c r="GR769" s="3"/>
      <c r="GS769" s="3"/>
      <c r="GT769" s="3"/>
      <c r="GU769" s="3"/>
      <c r="GV769" s="3"/>
      <c r="GW769" s="3"/>
      <c r="GX769" s="3"/>
      <c r="GY769" s="3"/>
      <c r="GZ769" s="3"/>
      <c r="HA769" s="3"/>
      <c r="HB769" s="3"/>
      <c r="HC769" s="3"/>
      <c r="HD769" s="3"/>
      <c r="HE769" s="3"/>
      <c r="HF769" s="3"/>
      <c r="HG769" s="3"/>
      <c r="HH769" s="3"/>
      <c r="HI769" s="3"/>
      <c r="HJ769" s="3"/>
      <c r="HK769" s="3"/>
      <c r="HL769" s="3"/>
      <c r="HM769" s="3"/>
      <c r="HN769" s="3"/>
      <c r="HO769" s="3"/>
      <c r="HP769" s="3"/>
      <c r="HQ769" s="3"/>
      <c r="HR769" s="3"/>
      <c r="HS769" s="3"/>
      <c r="HT769" s="3"/>
    </row>
    <row r="770">
      <c r="A770" s="14"/>
      <c r="B770" s="3"/>
      <c r="C770" s="3"/>
      <c r="D770" s="3"/>
      <c r="E770" s="3"/>
      <c r="F770" s="5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7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  <c r="FZ770" s="3"/>
      <c r="GA770" s="3"/>
      <c r="GB770" s="3"/>
      <c r="GC770" s="3"/>
      <c r="GD770" s="3"/>
      <c r="GE770" s="3"/>
      <c r="GF770" s="3"/>
      <c r="GG770" s="3"/>
      <c r="GH770" s="3"/>
      <c r="GI770" s="3"/>
      <c r="GJ770" s="3"/>
      <c r="GK770" s="3"/>
      <c r="GL770" s="3"/>
      <c r="GM770" s="3"/>
      <c r="GN770" s="3"/>
      <c r="GO770" s="3"/>
      <c r="GP770" s="3"/>
      <c r="GQ770" s="3"/>
      <c r="GR770" s="3"/>
      <c r="GS770" s="3"/>
      <c r="GT770" s="3"/>
      <c r="GU770" s="3"/>
      <c r="GV770" s="3"/>
      <c r="GW770" s="3"/>
      <c r="GX770" s="3"/>
      <c r="GY770" s="3"/>
      <c r="GZ770" s="3"/>
      <c r="HA770" s="3"/>
      <c r="HB770" s="3"/>
      <c r="HC770" s="3"/>
      <c r="HD770" s="3"/>
      <c r="HE770" s="3"/>
      <c r="HF770" s="3"/>
      <c r="HG770" s="3"/>
      <c r="HH770" s="3"/>
      <c r="HI770" s="3"/>
      <c r="HJ770" s="3"/>
      <c r="HK770" s="3"/>
      <c r="HL770" s="3"/>
      <c r="HM770" s="3"/>
      <c r="HN770" s="3"/>
      <c r="HO770" s="3"/>
      <c r="HP770" s="3"/>
      <c r="HQ770" s="3"/>
      <c r="HR770" s="3"/>
      <c r="HS770" s="3"/>
      <c r="HT770" s="3"/>
    </row>
    <row r="771">
      <c r="A771" s="14"/>
      <c r="B771" s="3"/>
      <c r="C771" s="3"/>
      <c r="D771" s="3"/>
      <c r="E771" s="3"/>
      <c r="F771" s="5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7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D771" s="3"/>
      <c r="GE771" s="3"/>
      <c r="GF771" s="3"/>
      <c r="GG771" s="3"/>
      <c r="GH771" s="3"/>
      <c r="GI771" s="3"/>
      <c r="GJ771" s="3"/>
      <c r="GK771" s="3"/>
      <c r="GL771" s="3"/>
      <c r="GM771" s="3"/>
      <c r="GN771" s="3"/>
      <c r="GO771" s="3"/>
      <c r="GP771" s="3"/>
      <c r="GQ771" s="3"/>
      <c r="GR771" s="3"/>
      <c r="GS771" s="3"/>
      <c r="GT771" s="3"/>
      <c r="GU771" s="3"/>
      <c r="GV771" s="3"/>
      <c r="GW771" s="3"/>
      <c r="GX771" s="3"/>
      <c r="GY771" s="3"/>
      <c r="GZ771" s="3"/>
      <c r="HA771" s="3"/>
      <c r="HB771" s="3"/>
      <c r="HC771" s="3"/>
      <c r="HD771" s="3"/>
      <c r="HE771" s="3"/>
      <c r="HF771" s="3"/>
      <c r="HG771" s="3"/>
      <c r="HH771" s="3"/>
      <c r="HI771" s="3"/>
      <c r="HJ771" s="3"/>
      <c r="HK771" s="3"/>
      <c r="HL771" s="3"/>
      <c r="HM771" s="3"/>
      <c r="HN771" s="3"/>
      <c r="HO771" s="3"/>
      <c r="HP771" s="3"/>
      <c r="HQ771" s="3"/>
      <c r="HR771" s="3"/>
      <c r="HS771" s="3"/>
      <c r="HT771" s="3"/>
    </row>
    <row r="772">
      <c r="A772" s="14"/>
      <c r="B772" s="3"/>
      <c r="C772" s="3"/>
      <c r="D772" s="3"/>
      <c r="E772" s="3"/>
      <c r="F772" s="5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7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  <c r="FZ772" s="3"/>
      <c r="GA772" s="3"/>
      <c r="GB772" s="3"/>
      <c r="GC772" s="3"/>
      <c r="GD772" s="3"/>
      <c r="GE772" s="3"/>
      <c r="GF772" s="3"/>
      <c r="GG772" s="3"/>
      <c r="GH772" s="3"/>
      <c r="GI772" s="3"/>
      <c r="GJ772" s="3"/>
      <c r="GK772" s="3"/>
      <c r="GL772" s="3"/>
      <c r="GM772" s="3"/>
      <c r="GN772" s="3"/>
      <c r="GO772" s="3"/>
      <c r="GP772" s="3"/>
      <c r="GQ772" s="3"/>
      <c r="GR772" s="3"/>
      <c r="GS772" s="3"/>
      <c r="GT772" s="3"/>
      <c r="GU772" s="3"/>
      <c r="GV772" s="3"/>
      <c r="GW772" s="3"/>
      <c r="GX772" s="3"/>
      <c r="GY772" s="3"/>
      <c r="GZ772" s="3"/>
      <c r="HA772" s="3"/>
      <c r="HB772" s="3"/>
      <c r="HC772" s="3"/>
      <c r="HD772" s="3"/>
      <c r="HE772" s="3"/>
      <c r="HF772" s="3"/>
      <c r="HG772" s="3"/>
      <c r="HH772" s="3"/>
      <c r="HI772" s="3"/>
      <c r="HJ772" s="3"/>
      <c r="HK772" s="3"/>
      <c r="HL772" s="3"/>
      <c r="HM772" s="3"/>
      <c r="HN772" s="3"/>
      <c r="HO772" s="3"/>
      <c r="HP772" s="3"/>
      <c r="HQ772" s="3"/>
      <c r="HR772" s="3"/>
      <c r="HS772" s="3"/>
      <c r="HT772" s="3"/>
    </row>
    <row r="773">
      <c r="A773" s="14"/>
      <c r="B773" s="3"/>
      <c r="C773" s="3"/>
      <c r="D773" s="3"/>
      <c r="E773" s="3"/>
      <c r="F773" s="5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7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D773" s="3"/>
      <c r="GE773" s="3"/>
      <c r="GF773" s="3"/>
      <c r="GG773" s="3"/>
      <c r="GH773" s="3"/>
      <c r="GI773" s="3"/>
      <c r="GJ773" s="3"/>
      <c r="GK773" s="3"/>
      <c r="GL773" s="3"/>
      <c r="GM773" s="3"/>
      <c r="GN773" s="3"/>
      <c r="GO773" s="3"/>
      <c r="GP773" s="3"/>
      <c r="GQ773" s="3"/>
      <c r="GR773" s="3"/>
      <c r="GS773" s="3"/>
      <c r="GT773" s="3"/>
      <c r="GU773" s="3"/>
      <c r="GV773" s="3"/>
      <c r="GW773" s="3"/>
      <c r="GX773" s="3"/>
      <c r="GY773" s="3"/>
      <c r="GZ773" s="3"/>
      <c r="HA773" s="3"/>
      <c r="HB773" s="3"/>
      <c r="HC773" s="3"/>
      <c r="HD773" s="3"/>
      <c r="HE773" s="3"/>
      <c r="HF773" s="3"/>
      <c r="HG773" s="3"/>
      <c r="HH773" s="3"/>
      <c r="HI773" s="3"/>
      <c r="HJ773" s="3"/>
      <c r="HK773" s="3"/>
      <c r="HL773" s="3"/>
      <c r="HM773" s="3"/>
      <c r="HN773" s="3"/>
      <c r="HO773" s="3"/>
      <c r="HP773" s="3"/>
      <c r="HQ773" s="3"/>
      <c r="HR773" s="3"/>
      <c r="HS773" s="3"/>
      <c r="HT773" s="3"/>
    </row>
    <row r="774">
      <c r="A774" s="14"/>
      <c r="B774" s="3"/>
      <c r="C774" s="3"/>
      <c r="D774" s="3"/>
      <c r="E774" s="3"/>
      <c r="F774" s="5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7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D774" s="3"/>
      <c r="GE774" s="3"/>
      <c r="GF774" s="3"/>
      <c r="GG774" s="3"/>
      <c r="GH774" s="3"/>
      <c r="GI774" s="3"/>
      <c r="GJ774" s="3"/>
      <c r="GK774" s="3"/>
      <c r="GL774" s="3"/>
      <c r="GM774" s="3"/>
      <c r="GN774" s="3"/>
      <c r="GO774" s="3"/>
      <c r="GP774" s="3"/>
      <c r="GQ774" s="3"/>
      <c r="GR774" s="3"/>
      <c r="GS774" s="3"/>
      <c r="GT774" s="3"/>
      <c r="GU774" s="3"/>
      <c r="GV774" s="3"/>
      <c r="GW774" s="3"/>
      <c r="GX774" s="3"/>
      <c r="GY774" s="3"/>
      <c r="GZ774" s="3"/>
      <c r="HA774" s="3"/>
      <c r="HB774" s="3"/>
      <c r="HC774" s="3"/>
      <c r="HD774" s="3"/>
      <c r="HE774" s="3"/>
      <c r="HF774" s="3"/>
      <c r="HG774" s="3"/>
      <c r="HH774" s="3"/>
      <c r="HI774" s="3"/>
      <c r="HJ774" s="3"/>
      <c r="HK774" s="3"/>
      <c r="HL774" s="3"/>
      <c r="HM774" s="3"/>
      <c r="HN774" s="3"/>
      <c r="HO774" s="3"/>
      <c r="HP774" s="3"/>
      <c r="HQ774" s="3"/>
      <c r="HR774" s="3"/>
      <c r="HS774" s="3"/>
      <c r="HT774" s="3"/>
    </row>
    <row r="775">
      <c r="A775" s="14"/>
      <c r="B775" s="3"/>
      <c r="C775" s="3"/>
      <c r="D775" s="3"/>
      <c r="E775" s="3"/>
      <c r="F775" s="5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7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3"/>
      <c r="GG775" s="3"/>
      <c r="GH775" s="3"/>
      <c r="GI775" s="3"/>
      <c r="GJ775" s="3"/>
      <c r="GK775" s="3"/>
      <c r="GL775" s="3"/>
      <c r="GM775" s="3"/>
      <c r="GN775" s="3"/>
      <c r="GO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  <c r="GZ775" s="3"/>
      <c r="HA775" s="3"/>
      <c r="HB775" s="3"/>
      <c r="HC775" s="3"/>
      <c r="HD775" s="3"/>
      <c r="HE775" s="3"/>
      <c r="HF775" s="3"/>
      <c r="HG775" s="3"/>
      <c r="HH775" s="3"/>
      <c r="HI775" s="3"/>
      <c r="HJ775" s="3"/>
      <c r="HK775" s="3"/>
      <c r="HL775" s="3"/>
      <c r="HM775" s="3"/>
      <c r="HN775" s="3"/>
      <c r="HO775" s="3"/>
      <c r="HP775" s="3"/>
      <c r="HQ775" s="3"/>
      <c r="HR775" s="3"/>
      <c r="HS775" s="3"/>
      <c r="HT775" s="3"/>
    </row>
    <row r="776">
      <c r="A776" s="14"/>
      <c r="B776" s="3"/>
      <c r="C776" s="3"/>
      <c r="D776" s="3"/>
      <c r="E776" s="3"/>
      <c r="F776" s="5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7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D776" s="3"/>
      <c r="GE776" s="3"/>
      <c r="GF776" s="3"/>
      <c r="GG776" s="3"/>
      <c r="GH776" s="3"/>
      <c r="GI776" s="3"/>
      <c r="GJ776" s="3"/>
      <c r="GK776" s="3"/>
      <c r="GL776" s="3"/>
      <c r="GM776" s="3"/>
      <c r="GN776" s="3"/>
      <c r="GO776" s="3"/>
      <c r="GP776" s="3"/>
      <c r="GQ776" s="3"/>
      <c r="GR776" s="3"/>
      <c r="GS776" s="3"/>
      <c r="GT776" s="3"/>
      <c r="GU776" s="3"/>
      <c r="GV776" s="3"/>
      <c r="GW776" s="3"/>
      <c r="GX776" s="3"/>
      <c r="GY776" s="3"/>
      <c r="GZ776" s="3"/>
      <c r="HA776" s="3"/>
      <c r="HB776" s="3"/>
      <c r="HC776" s="3"/>
      <c r="HD776" s="3"/>
      <c r="HE776" s="3"/>
      <c r="HF776" s="3"/>
      <c r="HG776" s="3"/>
      <c r="HH776" s="3"/>
      <c r="HI776" s="3"/>
      <c r="HJ776" s="3"/>
      <c r="HK776" s="3"/>
      <c r="HL776" s="3"/>
      <c r="HM776" s="3"/>
      <c r="HN776" s="3"/>
      <c r="HO776" s="3"/>
      <c r="HP776" s="3"/>
      <c r="HQ776" s="3"/>
      <c r="HR776" s="3"/>
      <c r="HS776" s="3"/>
      <c r="HT776" s="3"/>
    </row>
    <row r="777">
      <c r="A777" s="14"/>
      <c r="B777" s="3"/>
      <c r="C777" s="3"/>
      <c r="D777" s="3"/>
      <c r="E777" s="3"/>
      <c r="F777" s="5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7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D777" s="3"/>
      <c r="GE777" s="3"/>
      <c r="GF777" s="3"/>
      <c r="GG777" s="3"/>
      <c r="GH777" s="3"/>
      <c r="GI777" s="3"/>
      <c r="GJ777" s="3"/>
      <c r="GK777" s="3"/>
      <c r="GL777" s="3"/>
      <c r="GM777" s="3"/>
      <c r="GN777" s="3"/>
      <c r="GO777" s="3"/>
      <c r="GP777" s="3"/>
      <c r="GQ777" s="3"/>
      <c r="GR777" s="3"/>
      <c r="GS777" s="3"/>
      <c r="GT777" s="3"/>
      <c r="GU777" s="3"/>
      <c r="GV777" s="3"/>
      <c r="GW777" s="3"/>
      <c r="GX777" s="3"/>
      <c r="GY777" s="3"/>
      <c r="GZ777" s="3"/>
      <c r="HA777" s="3"/>
      <c r="HB777" s="3"/>
      <c r="HC777" s="3"/>
      <c r="HD777" s="3"/>
      <c r="HE777" s="3"/>
      <c r="HF777" s="3"/>
      <c r="HG777" s="3"/>
      <c r="HH777" s="3"/>
      <c r="HI777" s="3"/>
      <c r="HJ777" s="3"/>
      <c r="HK777" s="3"/>
      <c r="HL777" s="3"/>
      <c r="HM777" s="3"/>
      <c r="HN777" s="3"/>
      <c r="HO777" s="3"/>
      <c r="HP777" s="3"/>
      <c r="HQ777" s="3"/>
      <c r="HR777" s="3"/>
      <c r="HS777" s="3"/>
      <c r="HT777" s="3"/>
    </row>
    <row r="778">
      <c r="A778" s="14"/>
      <c r="B778" s="3"/>
      <c r="C778" s="3"/>
      <c r="D778" s="3"/>
      <c r="E778" s="3"/>
      <c r="F778" s="5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7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  <c r="FZ778" s="3"/>
      <c r="GA778" s="3"/>
      <c r="GB778" s="3"/>
      <c r="GC778" s="3"/>
      <c r="GD778" s="3"/>
      <c r="GE778" s="3"/>
      <c r="GF778" s="3"/>
      <c r="GG778" s="3"/>
      <c r="GH778" s="3"/>
      <c r="GI778" s="3"/>
      <c r="GJ778" s="3"/>
      <c r="GK778" s="3"/>
      <c r="GL778" s="3"/>
      <c r="GM778" s="3"/>
      <c r="GN778" s="3"/>
      <c r="GO778" s="3"/>
      <c r="GP778" s="3"/>
      <c r="GQ778" s="3"/>
      <c r="GR778" s="3"/>
      <c r="GS778" s="3"/>
      <c r="GT778" s="3"/>
      <c r="GU778" s="3"/>
      <c r="GV778" s="3"/>
      <c r="GW778" s="3"/>
      <c r="GX778" s="3"/>
      <c r="GY778" s="3"/>
      <c r="GZ778" s="3"/>
      <c r="HA778" s="3"/>
      <c r="HB778" s="3"/>
      <c r="HC778" s="3"/>
      <c r="HD778" s="3"/>
      <c r="HE778" s="3"/>
      <c r="HF778" s="3"/>
      <c r="HG778" s="3"/>
      <c r="HH778" s="3"/>
      <c r="HI778" s="3"/>
      <c r="HJ778" s="3"/>
      <c r="HK778" s="3"/>
      <c r="HL778" s="3"/>
      <c r="HM778" s="3"/>
      <c r="HN778" s="3"/>
      <c r="HO778" s="3"/>
      <c r="HP778" s="3"/>
      <c r="HQ778" s="3"/>
      <c r="HR778" s="3"/>
      <c r="HS778" s="3"/>
      <c r="HT778" s="3"/>
    </row>
    <row r="779">
      <c r="A779" s="14"/>
      <c r="B779" s="3"/>
      <c r="C779" s="3"/>
      <c r="D779" s="3"/>
      <c r="E779" s="3"/>
      <c r="F779" s="5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7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D779" s="3"/>
      <c r="GE779" s="3"/>
      <c r="GF779" s="3"/>
      <c r="GG779" s="3"/>
      <c r="GH779" s="3"/>
      <c r="GI779" s="3"/>
      <c r="GJ779" s="3"/>
      <c r="GK779" s="3"/>
      <c r="GL779" s="3"/>
      <c r="GM779" s="3"/>
      <c r="GN779" s="3"/>
      <c r="GO779" s="3"/>
      <c r="GP779" s="3"/>
      <c r="GQ779" s="3"/>
      <c r="GR779" s="3"/>
      <c r="GS779" s="3"/>
      <c r="GT779" s="3"/>
      <c r="GU779" s="3"/>
      <c r="GV779" s="3"/>
      <c r="GW779" s="3"/>
      <c r="GX779" s="3"/>
      <c r="GY779" s="3"/>
      <c r="GZ779" s="3"/>
      <c r="HA779" s="3"/>
      <c r="HB779" s="3"/>
      <c r="HC779" s="3"/>
      <c r="HD779" s="3"/>
      <c r="HE779" s="3"/>
      <c r="HF779" s="3"/>
      <c r="HG779" s="3"/>
      <c r="HH779" s="3"/>
      <c r="HI779" s="3"/>
      <c r="HJ779" s="3"/>
      <c r="HK779" s="3"/>
      <c r="HL779" s="3"/>
      <c r="HM779" s="3"/>
      <c r="HN779" s="3"/>
      <c r="HO779" s="3"/>
      <c r="HP779" s="3"/>
      <c r="HQ779" s="3"/>
      <c r="HR779" s="3"/>
      <c r="HS779" s="3"/>
      <c r="HT779" s="3"/>
    </row>
    <row r="780">
      <c r="A780" s="14"/>
      <c r="B780" s="3"/>
      <c r="C780" s="3"/>
      <c r="D780" s="3"/>
      <c r="E780" s="3"/>
      <c r="F780" s="5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7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  <c r="FZ780" s="3"/>
      <c r="GA780" s="3"/>
      <c r="GB780" s="3"/>
      <c r="GC780" s="3"/>
      <c r="GD780" s="3"/>
      <c r="GE780" s="3"/>
      <c r="GF780" s="3"/>
      <c r="GG780" s="3"/>
      <c r="GH780" s="3"/>
      <c r="GI780" s="3"/>
      <c r="GJ780" s="3"/>
      <c r="GK780" s="3"/>
      <c r="GL780" s="3"/>
      <c r="GM780" s="3"/>
      <c r="GN780" s="3"/>
      <c r="GO780" s="3"/>
      <c r="GP780" s="3"/>
      <c r="GQ780" s="3"/>
      <c r="GR780" s="3"/>
      <c r="GS780" s="3"/>
      <c r="GT780" s="3"/>
      <c r="GU780" s="3"/>
      <c r="GV780" s="3"/>
      <c r="GW780" s="3"/>
      <c r="GX780" s="3"/>
      <c r="GY780" s="3"/>
      <c r="GZ780" s="3"/>
      <c r="HA780" s="3"/>
      <c r="HB780" s="3"/>
      <c r="HC780" s="3"/>
      <c r="HD780" s="3"/>
      <c r="HE780" s="3"/>
      <c r="HF780" s="3"/>
      <c r="HG780" s="3"/>
      <c r="HH780" s="3"/>
      <c r="HI780" s="3"/>
      <c r="HJ780" s="3"/>
      <c r="HK780" s="3"/>
      <c r="HL780" s="3"/>
      <c r="HM780" s="3"/>
      <c r="HN780" s="3"/>
      <c r="HO780" s="3"/>
      <c r="HP780" s="3"/>
      <c r="HQ780" s="3"/>
      <c r="HR780" s="3"/>
      <c r="HS780" s="3"/>
      <c r="HT780" s="3"/>
    </row>
    <row r="781">
      <c r="A781" s="14"/>
      <c r="B781" s="3"/>
      <c r="C781" s="3"/>
      <c r="D781" s="3"/>
      <c r="E781" s="3"/>
      <c r="F781" s="5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7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D781" s="3"/>
      <c r="GE781" s="3"/>
      <c r="GF781" s="3"/>
      <c r="GG781" s="3"/>
      <c r="GH781" s="3"/>
      <c r="GI781" s="3"/>
      <c r="GJ781" s="3"/>
      <c r="GK781" s="3"/>
      <c r="GL781" s="3"/>
      <c r="GM781" s="3"/>
      <c r="GN781" s="3"/>
      <c r="GO781" s="3"/>
      <c r="GP781" s="3"/>
      <c r="GQ781" s="3"/>
      <c r="GR781" s="3"/>
      <c r="GS781" s="3"/>
      <c r="GT781" s="3"/>
      <c r="GU781" s="3"/>
      <c r="GV781" s="3"/>
      <c r="GW781" s="3"/>
      <c r="GX781" s="3"/>
      <c r="GY781" s="3"/>
      <c r="GZ781" s="3"/>
      <c r="HA781" s="3"/>
      <c r="HB781" s="3"/>
      <c r="HC781" s="3"/>
      <c r="HD781" s="3"/>
      <c r="HE781" s="3"/>
      <c r="HF781" s="3"/>
      <c r="HG781" s="3"/>
      <c r="HH781" s="3"/>
      <c r="HI781" s="3"/>
      <c r="HJ781" s="3"/>
      <c r="HK781" s="3"/>
      <c r="HL781" s="3"/>
      <c r="HM781" s="3"/>
      <c r="HN781" s="3"/>
      <c r="HO781" s="3"/>
      <c r="HP781" s="3"/>
      <c r="HQ781" s="3"/>
      <c r="HR781" s="3"/>
      <c r="HS781" s="3"/>
      <c r="HT781" s="3"/>
    </row>
    <row r="782">
      <c r="A782" s="14"/>
      <c r="B782" s="3"/>
      <c r="C782" s="3"/>
      <c r="D782" s="3"/>
      <c r="E782" s="3"/>
      <c r="F782" s="5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7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D782" s="3"/>
      <c r="GE782" s="3"/>
      <c r="GF782" s="3"/>
      <c r="GG782" s="3"/>
      <c r="GH782" s="3"/>
      <c r="GI782" s="3"/>
      <c r="GJ782" s="3"/>
      <c r="GK782" s="3"/>
      <c r="GL782" s="3"/>
      <c r="GM782" s="3"/>
      <c r="GN782" s="3"/>
      <c r="GO782" s="3"/>
      <c r="GP782" s="3"/>
      <c r="GQ782" s="3"/>
      <c r="GR782" s="3"/>
      <c r="GS782" s="3"/>
      <c r="GT782" s="3"/>
      <c r="GU782" s="3"/>
      <c r="GV782" s="3"/>
      <c r="GW782" s="3"/>
      <c r="GX782" s="3"/>
      <c r="GY782" s="3"/>
      <c r="GZ782" s="3"/>
      <c r="HA782" s="3"/>
      <c r="HB782" s="3"/>
      <c r="HC782" s="3"/>
      <c r="HD782" s="3"/>
      <c r="HE782" s="3"/>
      <c r="HF782" s="3"/>
      <c r="HG782" s="3"/>
      <c r="HH782" s="3"/>
      <c r="HI782" s="3"/>
      <c r="HJ782" s="3"/>
      <c r="HK782" s="3"/>
      <c r="HL782" s="3"/>
      <c r="HM782" s="3"/>
      <c r="HN782" s="3"/>
      <c r="HO782" s="3"/>
      <c r="HP782" s="3"/>
      <c r="HQ782" s="3"/>
      <c r="HR782" s="3"/>
      <c r="HS782" s="3"/>
      <c r="HT782" s="3"/>
    </row>
    <row r="783">
      <c r="A783" s="14"/>
      <c r="B783" s="3"/>
      <c r="C783" s="3"/>
      <c r="D783" s="3"/>
      <c r="E783" s="3"/>
      <c r="F783" s="5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7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3"/>
      <c r="GG783" s="3"/>
      <c r="GH783" s="3"/>
      <c r="GI783" s="3"/>
      <c r="GJ783" s="3"/>
      <c r="GK783" s="3"/>
      <c r="GL783" s="3"/>
      <c r="GM783" s="3"/>
      <c r="GN783" s="3"/>
      <c r="GO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  <c r="GZ783" s="3"/>
      <c r="HA783" s="3"/>
      <c r="HB783" s="3"/>
      <c r="HC783" s="3"/>
      <c r="HD783" s="3"/>
      <c r="HE783" s="3"/>
      <c r="HF783" s="3"/>
      <c r="HG783" s="3"/>
      <c r="HH783" s="3"/>
      <c r="HI783" s="3"/>
      <c r="HJ783" s="3"/>
      <c r="HK783" s="3"/>
      <c r="HL783" s="3"/>
      <c r="HM783" s="3"/>
      <c r="HN783" s="3"/>
      <c r="HO783" s="3"/>
      <c r="HP783" s="3"/>
      <c r="HQ783" s="3"/>
      <c r="HR783" s="3"/>
      <c r="HS783" s="3"/>
      <c r="HT783" s="3"/>
    </row>
    <row r="784">
      <c r="A784" s="14"/>
      <c r="B784" s="3"/>
      <c r="C784" s="3"/>
      <c r="D784" s="3"/>
      <c r="E784" s="3"/>
      <c r="F784" s="5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7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/>
      <c r="GB784" s="3"/>
      <c r="GC784" s="3"/>
      <c r="GD784" s="3"/>
      <c r="GE784" s="3"/>
      <c r="GF784" s="3"/>
      <c r="GG784" s="3"/>
      <c r="GH784" s="3"/>
      <c r="GI784" s="3"/>
      <c r="GJ784" s="3"/>
      <c r="GK784" s="3"/>
      <c r="GL784" s="3"/>
      <c r="GM784" s="3"/>
      <c r="GN784" s="3"/>
      <c r="GO784" s="3"/>
      <c r="GP784" s="3"/>
      <c r="GQ784" s="3"/>
      <c r="GR784" s="3"/>
      <c r="GS784" s="3"/>
      <c r="GT784" s="3"/>
      <c r="GU784" s="3"/>
      <c r="GV784" s="3"/>
      <c r="GW784" s="3"/>
      <c r="GX784" s="3"/>
      <c r="GY784" s="3"/>
      <c r="GZ784" s="3"/>
      <c r="HA784" s="3"/>
      <c r="HB784" s="3"/>
      <c r="HC784" s="3"/>
      <c r="HD784" s="3"/>
      <c r="HE784" s="3"/>
      <c r="HF784" s="3"/>
      <c r="HG784" s="3"/>
      <c r="HH784" s="3"/>
      <c r="HI784" s="3"/>
      <c r="HJ784" s="3"/>
      <c r="HK784" s="3"/>
      <c r="HL784" s="3"/>
      <c r="HM784" s="3"/>
      <c r="HN784" s="3"/>
      <c r="HO784" s="3"/>
      <c r="HP784" s="3"/>
      <c r="HQ784" s="3"/>
      <c r="HR784" s="3"/>
      <c r="HS784" s="3"/>
      <c r="HT784" s="3"/>
    </row>
    <row r="785">
      <c r="A785" s="14"/>
      <c r="B785" s="3"/>
      <c r="C785" s="3"/>
      <c r="D785" s="3"/>
      <c r="E785" s="3"/>
      <c r="F785" s="5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7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D785" s="3"/>
      <c r="GE785" s="3"/>
      <c r="GF785" s="3"/>
      <c r="GG785" s="3"/>
      <c r="GH785" s="3"/>
      <c r="GI785" s="3"/>
      <c r="GJ785" s="3"/>
      <c r="GK785" s="3"/>
      <c r="GL785" s="3"/>
      <c r="GM785" s="3"/>
      <c r="GN785" s="3"/>
      <c r="GO785" s="3"/>
      <c r="GP785" s="3"/>
      <c r="GQ785" s="3"/>
      <c r="GR785" s="3"/>
      <c r="GS785" s="3"/>
      <c r="GT785" s="3"/>
      <c r="GU785" s="3"/>
      <c r="GV785" s="3"/>
      <c r="GW785" s="3"/>
      <c r="GX785" s="3"/>
      <c r="GY785" s="3"/>
      <c r="GZ785" s="3"/>
      <c r="HA785" s="3"/>
      <c r="HB785" s="3"/>
      <c r="HC785" s="3"/>
      <c r="HD785" s="3"/>
      <c r="HE785" s="3"/>
      <c r="HF785" s="3"/>
      <c r="HG785" s="3"/>
      <c r="HH785" s="3"/>
      <c r="HI785" s="3"/>
      <c r="HJ785" s="3"/>
      <c r="HK785" s="3"/>
      <c r="HL785" s="3"/>
      <c r="HM785" s="3"/>
      <c r="HN785" s="3"/>
      <c r="HO785" s="3"/>
      <c r="HP785" s="3"/>
      <c r="HQ785" s="3"/>
      <c r="HR785" s="3"/>
      <c r="HS785" s="3"/>
      <c r="HT785" s="3"/>
    </row>
    <row r="786">
      <c r="A786" s="14"/>
      <c r="B786" s="3"/>
      <c r="C786" s="3"/>
      <c r="D786" s="3"/>
      <c r="E786" s="3"/>
      <c r="F786" s="5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7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/>
      <c r="GB786" s="3"/>
      <c r="GC786" s="3"/>
      <c r="GD786" s="3"/>
      <c r="GE786" s="3"/>
      <c r="GF786" s="3"/>
      <c r="GG786" s="3"/>
      <c r="GH786" s="3"/>
      <c r="GI786" s="3"/>
      <c r="GJ786" s="3"/>
      <c r="GK786" s="3"/>
      <c r="GL786" s="3"/>
      <c r="GM786" s="3"/>
      <c r="GN786" s="3"/>
      <c r="GO786" s="3"/>
      <c r="GP786" s="3"/>
      <c r="GQ786" s="3"/>
      <c r="GR786" s="3"/>
      <c r="GS786" s="3"/>
      <c r="GT786" s="3"/>
      <c r="GU786" s="3"/>
      <c r="GV786" s="3"/>
      <c r="GW786" s="3"/>
      <c r="GX786" s="3"/>
      <c r="GY786" s="3"/>
      <c r="GZ786" s="3"/>
      <c r="HA786" s="3"/>
      <c r="HB786" s="3"/>
      <c r="HC786" s="3"/>
      <c r="HD786" s="3"/>
      <c r="HE786" s="3"/>
      <c r="HF786" s="3"/>
      <c r="HG786" s="3"/>
      <c r="HH786" s="3"/>
      <c r="HI786" s="3"/>
      <c r="HJ786" s="3"/>
      <c r="HK786" s="3"/>
      <c r="HL786" s="3"/>
      <c r="HM786" s="3"/>
      <c r="HN786" s="3"/>
      <c r="HO786" s="3"/>
      <c r="HP786" s="3"/>
      <c r="HQ786" s="3"/>
      <c r="HR786" s="3"/>
      <c r="HS786" s="3"/>
      <c r="HT786" s="3"/>
    </row>
    <row r="787">
      <c r="A787" s="14"/>
      <c r="B787" s="3"/>
      <c r="C787" s="3"/>
      <c r="D787" s="3"/>
      <c r="E787" s="3"/>
      <c r="F787" s="5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7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D787" s="3"/>
      <c r="GE787" s="3"/>
      <c r="GF787" s="3"/>
      <c r="GG787" s="3"/>
      <c r="GH787" s="3"/>
      <c r="GI787" s="3"/>
      <c r="GJ787" s="3"/>
      <c r="GK787" s="3"/>
      <c r="GL787" s="3"/>
      <c r="GM787" s="3"/>
      <c r="GN787" s="3"/>
      <c r="GO787" s="3"/>
      <c r="GP787" s="3"/>
      <c r="GQ787" s="3"/>
      <c r="GR787" s="3"/>
      <c r="GS787" s="3"/>
      <c r="GT787" s="3"/>
      <c r="GU787" s="3"/>
      <c r="GV787" s="3"/>
      <c r="GW787" s="3"/>
      <c r="GX787" s="3"/>
      <c r="GY787" s="3"/>
      <c r="GZ787" s="3"/>
      <c r="HA787" s="3"/>
      <c r="HB787" s="3"/>
      <c r="HC787" s="3"/>
      <c r="HD787" s="3"/>
      <c r="HE787" s="3"/>
      <c r="HF787" s="3"/>
      <c r="HG787" s="3"/>
      <c r="HH787" s="3"/>
      <c r="HI787" s="3"/>
      <c r="HJ787" s="3"/>
      <c r="HK787" s="3"/>
      <c r="HL787" s="3"/>
      <c r="HM787" s="3"/>
      <c r="HN787" s="3"/>
      <c r="HO787" s="3"/>
      <c r="HP787" s="3"/>
      <c r="HQ787" s="3"/>
      <c r="HR787" s="3"/>
      <c r="HS787" s="3"/>
      <c r="HT787" s="3"/>
    </row>
    <row r="788">
      <c r="A788" s="14"/>
      <c r="B788" s="3"/>
      <c r="C788" s="3"/>
      <c r="D788" s="3"/>
      <c r="E788" s="3"/>
      <c r="F788" s="5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7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D788" s="3"/>
      <c r="GE788" s="3"/>
      <c r="GF788" s="3"/>
      <c r="GG788" s="3"/>
      <c r="GH788" s="3"/>
      <c r="GI788" s="3"/>
      <c r="GJ788" s="3"/>
      <c r="GK788" s="3"/>
      <c r="GL788" s="3"/>
      <c r="GM788" s="3"/>
      <c r="GN788" s="3"/>
      <c r="GO788" s="3"/>
      <c r="GP788" s="3"/>
      <c r="GQ788" s="3"/>
      <c r="GR788" s="3"/>
      <c r="GS788" s="3"/>
      <c r="GT788" s="3"/>
      <c r="GU788" s="3"/>
      <c r="GV788" s="3"/>
      <c r="GW788" s="3"/>
      <c r="GX788" s="3"/>
      <c r="GY788" s="3"/>
      <c r="GZ788" s="3"/>
      <c r="HA788" s="3"/>
      <c r="HB788" s="3"/>
      <c r="HC788" s="3"/>
      <c r="HD788" s="3"/>
      <c r="HE788" s="3"/>
      <c r="HF788" s="3"/>
      <c r="HG788" s="3"/>
      <c r="HH788" s="3"/>
      <c r="HI788" s="3"/>
      <c r="HJ788" s="3"/>
      <c r="HK788" s="3"/>
      <c r="HL788" s="3"/>
      <c r="HM788" s="3"/>
      <c r="HN788" s="3"/>
      <c r="HO788" s="3"/>
      <c r="HP788" s="3"/>
      <c r="HQ788" s="3"/>
      <c r="HR788" s="3"/>
      <c r="HS788" s="3"/>
      <c r="HT788" s="3"/>
    </row>
    <row r="789">
      <c r="A789" s="14"/>
      <c r="B789" s="3"/>
      <c r="C789" s="3"/>
      <c r="D789" s="3"/>
      <c r="E789" s="3"/>
      <c r="F789" s="5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7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3"/>
      <c r="GC789" s="3"/>
      <c r="GD789" s="3"/>
      <c r="GE789" s="3"/>
      <c r="GF789" s="3"/>
      <c r="GG789" s="3"/>
      <c r="GH789" s="3"/>
      <c r="GI789" s="3"/>
      <c r="GJ789" s="3"/>
      <c r="GK789" s="3"/>
      <c r="GL789" s="3"/>
      <c r="GM789" s="3"/>
      <c r="GN789" s="3"/>
      <c r="GO789" s="3"/>
      <c r="GP789" s="3"/>
      <c r="GQ789" s="3"/>
      <c r="GR789" s="3"/>
      <c r="GS789" s="3"/>
      <c r="GT789" s="3"/>
      <c r="GU789" s="3"/>
      <c r="GV789" s="3"/>
      <c r="GW789" s="3"/>
      <c r="GX789" s="3"/>
      <c r="GY789" s="3"/>
      <c r="GZ789" s="3"/>
      <c r="HA789" s="3"/>
      <c r="HB789" s="3"/>
      <c r="HC789" s="3"/>
      <c r="HD789" s="3"/>
      <c r="HE789" s="3"/>
      <c r="HF789" s="3"/>
      <c r="HG789" s="3"/>
      <c r="HH789" s="3"/>
      <c r="HI789" s="3"/>
      <c r="HJ789" s="3"/>
      <c r="HK789" s="3"/>
      <c r="HL789" s="3"/>
      <c r="HM789" s="3"/>
      <c r="HN789" s="3"/>
      <c r="HO789" s="3"/>
      <c r="HP789" s="3"/>
      <c r="HQ789" s="3"/>
      <c r="HR789" s="3"/>
      <c r="HS789" s="3"/>
      <c r="HT789" s="3"/>
    </row>
    <row r="790">
      <c r="A790" s="14"/>
      <c r="B790" s="3"/>
      <c r="C790" s="3"/>
      <c r="D790" s="3"/>
      <c r="E790" s="3"/>
      <c r="F790" s="5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7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  <c r="FZ790" s="3"/>
      <c r="GA790" s="3"/>
      <c r="GB790" s="3"/>
      <c r="GC790" s="3"/>
      <c r="GD790" s="3"/>
      <c r="GE790" s="3"/>
      <c r="GF790" s="3"/>
      <c r="GG790" s="3"/>
      <c r="GH790" s="3"/>
      <c r="GI790" s="3"/>
      <c r="GJ790" s="3"/>
      <c r="GK790" s="3"/>
      <c r="GL790" s="3"/>
      <c r="GM790" s="3"/>
      <c r="GN790" s="3"/>
      <c r="GO790" s="3"/>
      <c r="GP790" s="3"/>
      <c r="GQ790" s="3"/>
      <c r="GR790" s="3"/>
      <c r="GS790" s="3"/>
      <c r="GT790" s="3"/>
      <c r="GU790" s="3"/>
      <c r="GV790" s="3"/>
      <c r="GW790" s="3"/>
      <c r="GX790" s="3"/>
      <c r="GY790" s="3"/>
      <c r="GZ790" s="3"/>
      <c r="HA790" s="3"/>
      <c r="HB790" s="3"/>
      <c r="HC790" s="3"/>
      <c r="HD790" s="3"/>
      <c r="HE790" s="3"/>
      <c r="HF790" s="3"/>
      <c r="HG790" s="3"/>
      <c r="HH790" s="3"/>
      <c r="HI790" s="3"/>
      <c r="HJ790" s="3"/>
      <c r="HK790" s="3"/>
      <c r="HL790" s="3"/>
      <c r="HM790" s="3"/>
      <c r="HN790" s="3"/>
      <c r="HO790" s="3"/>
      <c r="HP790" s="3"/>
      <c r="HQ790" s="3"/>
      <c r="HR790" s="3"/>
      <c r="HS790" s="3"/>
      <c r="HT790" s="3"/>
    </row>
    <row r="791">
      <c r="A791" s="14"/>
      <c r="B791" s="3"/>
      <c r="C791" s="3"/>
      <c r="D791" s="3"/>
      <c r="E791" s="3"/>
      <c r="F791" s="5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7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FX791" s="3"/>
      <c r="FY791" s="3"/>
      <c r="FZ791" s="3"/>
      <c r="GA791" s="3"/>
      <c r="GB791" s="3"/>
      <c r="GC791" s="3"/>
      <c r="GD791" s="3"/>
      <c r="GE791" s="3"/>
      <c r="GF791" s="3"/>
      <c r="GG791" s="3"/>
      <c r="GH791" s="3"/>
      <c r="GI791" s="3"/>
      <c r="GJ791" s="3"/>
      <c r="GK791" s="3"/>
      <c r="GL791" s="3"/>
      <c r="GM791" s="3"/>
      <c r="GN791" s="3"/>
      <c r="GO791" s="3"/>
      <c r="GP791" s="3"/>
      <c r="GQ791" s="3"/>
      <c r="GR791" s="3"/>
      <c r="GS791" s="3"/>
      <c r="GT791" s="3"/>
      <c r="GU791" s="3"/>
      <c r="GV791" s="3"/>
      <c r="GW791" s="3"/>
      <c r="GX791" s="3"/>
      <c r="GY791" s="3"/>
      <c r="GZ791" s="3"/>
      <c r="HA791" s="3"/>
      <c r="HB791" s="3"/>
      <c r="HC791" s="3"/>
      <c r="HD791" s="3"/>
      <c r="HE791" s="3"/>
      <c r="HF791" s="3"/>
      <c r="HG791" s="3"/>
      <c r="HH791" s="3"/>
      <c r="HI791" s="3"/>
      <c r="HJ791" s="3"/>
      <c r="HK791" s="3"/>
      <c r="HL791" s="3"/>
      <c r="HM791" s="3"/>
      <c r="HN791" s="3"/>
      <c r="HO791" s="3"/>
      <c r="HP791" s="3"/>
      <c r="HQ791" s="3"/>
      <c r="HR791" s="3"/>
      <c r="HS791" s="3"/>
      <c r="HT791" s="3"/>
    </row>
    <row r="792">
      <c r="A792" s="14"/>
      <c r="B792" s="3"/>
      <c r="C792" s="3"/>
      <c r="D792" s="3"/>
      <c r="E792" s="3"/>
      <c r="F792" s="5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7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FX792" s="3"/>
      <c r="FY792" s="3"/>
      <c r="FZ792" s="3"/>
      <c r="GA792" s="3"/>
      <c r="GB792" s="3"/>
      <c r="GC792" s="3"/>
      <c r="GD792" s="3"/>
      <c r="GE792" s="3"/>
      <c r="GF792" s="3"/>
      <c r="GG792" s="3"/>
      <c r="GH792" s="3"/>
      <c r="GI792" s="3"/>
      <c r="GJ792" s="3"/>
      <c r="GK792" s="3"/>
      <c r="GL792" s="3"/>
      <c r="GM792" s="3"/>
      <c r="GN792" s="3"/>
      <c r="GO792" s="3"/>
      <c r="GP792" s="3"/>
      <c r="GQ792" s="3"/>
      <c r="GR792" s="3"/>
      <c r="GS792" s="3"/>
      <c r="GT792" s="3"/>
      <c r="GU792" s="3"/>
      <c r="GV792" s="3"/>
      <c r="GW792" s="3"/>
      <c r="GX792" s="3"/>
      <c r="GY792" s="3"/>
      <c r="GZ792" s="3"/>
      <c r="HA792" s="3"/>
      <c r="HB792" s="3"/>
      <c r="HC792" s="3"/>
      <c r="HD792" s="3"/>
      <c r="HE792" s="3"/>
      <c r="HF792" s="3"/>
      <c r="HG792" s="3"/>
      <c r="HH792" s="3"/>
      <c r="HI792" s="3"/>
      <c r="HJ792" s="3"/>
      <c r="HK792" s="3"/>
      <c r="HL792" s="3"/>
      <c r="HM792" s="3"/>
      <c r="HN792" s="3"/>
      <c r="HO792" s="3"/>
      <c r="HP792" s="3"/>
      <c r="HQ792" s="3"/>
      <c r="HR792" s="3"/>
      <c r="HS792" s="3"/>
      <c r="HT792" s="3"/>
    </row>
    <row r="793">
      <c r="A793" s="14"/>
      <c r="B793" s="3"/>
      <c r="C793" s="3"/>
      <c r="D793" s="3"/>
      <c r="E793" s="3"/>
      <c r="F793" s="5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7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FX793" s="3"/>
      <c r="FY793" s="3"/>
      <c r="FZ793" s="3"/>
      <c r="GA793" s="3"/>
      <c r="GB793" s="3"/>
      <c r="GC793" s="3"/>
      <c r="GD793" s="3"/>
      <c r="GE793" s="3"/>
      <c r="GF793" s="3"/>
      <c r="GG793" s="3"/>
      <c r="GH793" s="3"/>
      <c r="GI793" s="3"/>
      <c r="GJ793" s="3"/>
      <c r="GK793" s="3"/>
      <c r="GL793" s="3"/>
      <c r="GM793" s="3"/>
      <c r="GN793" s="3"/>
      <c r="GO793" s="3"/>
      <c r="GP793" s="3"/>
      <c r="GQ793" s="3"/>
      <c r="GR793" s="3"/>
      <c r="GS793" s="3"/>
      <c r="GT793" s="3"/>
      <c r="GU793" s="3"/>
      <c r="GV793" s="3"/>
      <c r="GW793" s="3"/>
      <c r="GX793" s="3"/>
      <c r="GY793" s="3"/>
      <c r="GZ793" s="3"/>
      <c r="HA793" s="3"/>
      <c r="HB793" s="3"/>
      <c r="HC793" s="3"/>
      <c r="HD793" s="3"/>
      <c r="HE793" s="3"/>
      <c r="HF793" s="3"/>
      <c r="HG793" s="3"/>
      <c r="HH793" s="3"/>
      <c r="HI793" s="3"/>
      <c r="HJ793" s="3"/>
      <c r="HK793" s="3"/>
      <c r="HL793" s="3"/>
      <c r="HM793" s="3"/>
      <c r="HN793" s="3"/>
      <c r="HO793" s="3"/>
      <c r="HP793" s="3"/>
      <c r="HQ793" s="3"/>
      <c r="HR793" s="3"/>
      <c r="HS793" s="3"/>
      <c r="HT793" s="3"/>
    </row>
    <row r="794">
      <c r="A794" s="14"/>
      <c r="B794" s="3"/>
      <c r="C794" s="3"/>
      <c r="D794" s="3"/>
      <c r="E794" s="3"/>
      <c r="F794" s="5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7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  <c r="FZ794" s="3"/>
      <c r="GA794" s="3"/>
      <c r="GB794" s="3"/>
      <c r="GC794" s="3"/>
      <c r="GD794" s="3"/>
      <c r="GE794" s="3"/>
      <c r="GF794" s="3"/>
      <c r="GG794" s="3"/>
      <c r="GH794" s="3"/>
      <c r="GI794" s="3"/>
      <c r="GJ794" s="3"/>
      <c r="GK794" s="3"/>
      <c r="GL794" s="3"/>
      <c r="GM794" s="3"/>
      <c r="GN794" s="3"/>
      <c r="GO794" s="3"/>
      <c r="GP794" s="3"/>
      <c r="GQ794" s="3"/>
      <c r="GR794" s="3"/>
      <c r="GS794" s="3"/>
      <c r="GT794" s="3"/>
      <c r="GU794" s="3"/>
      <c r="GV794" s="3"/>
      <c r="GW794" s="3"/>
      <c r="GX794" s="3"/>
      <c r="GY794" s="3"/>
      <c r="GZ794" s="3"/>
      <c r="HA794" s="3"/>
      <c r="HB794" s="3"/>
      <c r="HC794" s="3"/>
      <c r="HD794" s="3"/>
      <c r="HE794" s="3"/>
      <c r="HF794" s="3"/>
      <c r="HG794" s="3"/>
      <c r="HH794" s="3"/>
      <c r="HI794" s="3"/>
      <c r="HJ794" s="3"/>
      <c r="HK794" s="3"/>
      <c r="HL794" s="3"/>
      <c r="HM794" s="3"/>
      <c r="HN794" s="3"/>
      <c r="HO794" s="3"/>
      <c r="HP794" s="3"/>
      <c r="HQ794" s="3"/>
      <c r="HR794" s="3"/>
      <c r="HS794" s="3"/>
      <c r="HT794" s="3"/>
    </row>
    <row r="795">
      <c r="A795" s="14"/>
      <c r="B795" s="3"/>
      <c r="C795" s="3"/>
      <c r="D795" s="3"/>
      <c r="E795" s="3"/>
      <c r="F795" s="5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7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  <c r="FZ795" s="3"/>
      <c r="GA795" s="3"/>
      <c r="GB795" s="3"/>
      <c r="GC795" s="3"/>
      <c r="GD795" s="3"/>
      <c r="GE795" s="3"/>
      <c r="GF795" s="3"/>
      <c r="GG795" s="3"/>
      <c r="GH795" s="3"/>
      <c r="GI795" s="3"/>
      <c r="GJ795" s="3"/>
      <c r="GK795" s="3"/>
      <c r="GL795" s="3"/>
      <c r="GM795" s="3"/>
      <c r="GN795" s="3"/>
      <c r="GO795" s="3"/>
      <c r="GP795" s="3"/>
      <c r="GQ795" s="3"/>
      <c r="GR795" s="3"/>
      <c r="GS795" s="3"/>
      <c r="GT795" s="3"/>
      <c r="GU795" s="3"/>
      <c r="GV795" s="3"/>
      <c r="GW795" s="3"/>
      <c r="GX795" s="3"/>
      <c r="GY795" s="3"/>
      <c r="GZ795" s="3"/>
      <c r="HA795" s="3"/>
      <c r="HB795" s="3"/>
      <c r="HC795" s="3"/>
      <c r="HD795" s="3"/>
      <c r="HE795" s="3"/>
      <c r="HF795" s="3"/>
      <c r="HG795" s="3"/>
      <c r="HH795" s="3"/>
      <c r="HI795" s="3"/>
      <c r="HJ795" s="3"/>
      <c r="HK795" s="3"/>
      <c r="HL795" s="3"/>
      <c r="HM795" s="3"/>
      <c r="HN795" s="3"/>
      <c r="HO795" s="3"/>
      <c r="HP795" s="3"/>
      <c r="HQ795" s="3"/>
      <c r="HR795" s="3"/>
      <c r="HS795" s="3"/>
      <c r="HT795" s="3"/>
    </row>
    <row r="796">
      <c r="A796" s="14"/>
      <c r="B796" s="3"/>
      <c r="C796" s="3"/>
      <c r="D796" s="3"/>
      <c r="E796" s="3"/>
      <c r="F796" s="5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7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FX796" s="3"/>
      <c r="FY796" s="3"/>
      <c r="FZ796" s="3"/>
      <c r="GA796" s="3"/>
      <c r="GB796" s="3"/>
      <c r="GC796" s="3"/>
      <c r="GD796" s="3"/>
      <c r="GE796" s="3"/>
      <c r="GF796" s="3"/>
      <c r="GG796" s="3"/>
      <c r="GH796" s="3"/>
      <c r="GI796" s="3"/>
      <c r="GJ796" s="3"/>
      <c r="GK796" s="3"/>
      <c r="GL796" s="3"/>
      <c r="GM796" s="3"/>
      <c r="GN796" s="3"/>
      <c r="GO796" s="3"/>
      <c r="GP796" s="3"/>
      <c r="GQ796" s="3"/>
      <c r="GR796" s="3"/>
      <c r="GS796" s="3"/>
      <c r="GT796" s="3"/>
      <c r="GU796" s="3"/>
      <c r="GV796" s="3"/>
      <c r="GW796" s="3"/>
      <c r="GX796" s="3"/>
      <c r="GY796" s="3"/>
      <c r="GZ796" s="3"/>
      <c r="HA796" s="3"/>
      <c r="HB796" s="3"/>
      <c r="HC796" s="3"/>
      <c r="HD796" s="3"/>
      <c r="HE796" s="3"/>
      <c r="HF796" s="3"/>
      <c r="HG796" s="3"/>
      <c r="HH796" s="3"/>
      <c r="HI796" s="3"/>
      <c r="HJ796" s="3"/>
      <c r="HK796" s="3"/>
      <c r="HL796" s="3"/>
      <c r="HM796" s="3"/>
      <c r="HN796" s="3"/>
      <c r="HO796" s="3"/>
      <c r="HP796" s="3"/>
      <c r="HQ796" s="3"/>
      <c r="HR796" s="3"/>
      <c r="HS796" s="3"/>
      <c r="HT796" s="3"/>
    </row>
    <row r="797">
      <c r="A797" s="14"/>
      <c r="B797" s="3"/>
      <c r="C797" s="3"/>
      <c r="D797" s="3"/>
      <c r="E797" s="3"/>
      <c r="F797" s="5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7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FX797" s="3"/>
      <c r="FY797" s="3"/>
      <c r="FZ797" s="3"/>
      <c r="GA797" s="3"/>
      <c r="GB797" s="3"/>
      <c r="GC797" s="3"/>
      <c r="GD797" s="3"/>
      <c r="GE797" s="3"/>
      <c r="GF797" s="3"/>
      <c r="GG797" s="3"/>
      <c r="GH797" s="3"/>
      <c r="GI797" s="3"/>
      <c r="GJ797" s="3"/>
      <c r="GK797" s="3"/>
      <c r="GL797" s="3"/>
      <c r="GM797" s="3"/>
      <c r="GN797" s="3"/>
      <c r="GO797" s="3"/>
      <c r="GP797" s="3"/>
      <c r="GQ797" s="3"/>
      <c r="GR797" s="3"/>
      <c r="GS797" s="3"/>
      <c r="GT797" s="3"/>
      <c r="GU797" s="3"/>
      <c r="GV797" s="3"/>
      <c r="GW797" s="3"/>
      <c r="GX797" s="3"/>
      <c r="GY797" s="3"/>
      <c r="GZ797" s="3"/>
      <c r="HA797" s="3"/>
      <c r="HB797" s="3"/>
      <c r="HC797" s="3"/>
      <c r="HD797" s="3"/>
      <c r="HE797" s="3"/>
      <c r="HF797" s="3"/>
      <c r="HG797" s="3"/>
      <c r="HH797" s="3"/>
      <c r="HI797" s="3"/>
      <c r="HJ797" s="3"/>
      <c r="HK797" s="3"/>
      <c r="HL797" s="3"/>
      <c r="HM797" s="3"/>
      <c r="HN797" s="3"/>
      <c r="HO797" s="3"/>
      <c r="HP797" s="3"/>
      <c r="HQ797" s="3"/>
      <c r="HR797" s="3"/>
      <c r="HS797" s="3"/>
      <c r="HT797" s="3"/>
    </row>
    <row r="798">
      <c r="A798" s="14"/>
      <c r="B798" s="3"/>
      <c r="C798" s="3"/>
      <c r="D798" s="3"/>
      <c r="E798" s="3"/>
      <c r="F798" s="5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7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FX798" s="3"/>
      <c r="FY798" s="3"/>
      <c r="FZ798" s="3"/>
      <c r="GA798" s="3"/>
      <c r="GB798" s="3"/>
      <c r="GC798" s="3"/>
      <c r="GD798" s="3"/>
      <c r="GE798" s="3"/>
      <c r="GF798" s="3"/>
      <c r="GG798" s="3"/>
      <c r="GH798" s="3"/>
      <c r="GI798" s="3"/>
      <c r="GJ798" s="3"/>
      <c r="GK798" s="3"/>
      <c r="GL798" s="3"/>
      <c r="GM798" s="3"/>
      <c r="GN798" s="3"/>
      <c r="GO798" s="3"/>
      <c r="GP798" s="3"/>
      <c r="GQ798" s="3"/>
      <c r="GR798" s="3"/>
      <c r="GS798" s="3"/>
      <c r="GT798" s="3"/>
      <c r="GU798" s="3"/>
      <c r="GV798" s="3"/>
      <c r="GW798" s="3"/>
      <c r="GX798" s="3"/>
      <c r="GY798" s="3"/>
      <c r="GZ798" s="3"/>
      <c r="HA798" s="3"/>
      <c r="HB798" s="3"/>
      <c r="HC798" s="3"/>
      <c r="HD798" s="3"/>
      <c r="HE798" s="3"/>
      <c r="HF798" s="3"/>
      <c r="HG798" s="3"/>
      <c r="HH798" s="3"/>
      <c r="HI798" s="3"/>
      <c r="HJ798" s="3"/>
      <c r="HK798" s="3"/>
      <c r="HL798" s="3"/>
      <c r="HM798" s="3"/>
      <c r="HN798" s="3"/>
      <c r="HO798" s="3"/>
      <c r="HP798" s="3"/>
      <c r="HQ798" s="3"/>
      <c r="HR798" s="3"/>
      <c r="HS798" s="3"/>
      <c r="HT798" s="3"/>
    </row>
    <row r="799">
      <c r="A799" s="14"/>
      <c r="B799" s="3"/>
      <c r="C799" s="3"/>
      <c r="D799" s="3"/>
      <c r="E799" s="3"/>
      <c r="F799" s="5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7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FX799" s="3"/>
      <c r="FY799" s="3"/>
      <c r="FZ799" s="3"/>
      <c r="GA799" s="3"/>
      <c r="GB799" s="3"/>
      <c r="GC799" s="3"/>
      <c r="GD799" s="3"/>
      <c r="GE799" s="3"/>
      <c r="GF799" s="3"/>
      <c r="GG799" s="3"/>
      <c r="GH799" s="3"/>
      <c r="GI799" s="3"/>
      <c r="GJ799" s="3"/>
      <c r="GK799" s="3"/>
      <c r="GL799" s="3"/>
      <c r="GM799" s="3"/>
      <c r="GN799" s="3"/>
      <c r="GO799" s="3"/>
      <c r="GP799" s="3"/>
      <c r="GQ799" s="3"/>
      <c r="GR799" s="3"/>
      <c r="GS799" s="3"/>
      <c r="GT799" s="3"/>
      <c r="GU799" s="3"/>
      <c r="GV799" s="3"/>
      <c r="GW799" s="3"/>
      <c r="GX799" s="3"/>
      <c r="GY799" s="3"/>
      <c r="GZ799" s="3"/>
      <c r="HA799" s="3"/>
      <c r="HB799" s="3"/>
      <c r="HC799" s="3"/>
      <c r="HD799" s="3"/>
      <c r="HE799" s="3"/>
      <c r="HF799" s="3"/>
      <c r="HG799" s="3"/>
      <c r="HH799" s="3"/>
      <c r="HI799" s="3"/>
      <c r="HJ799" s="3"/>
      <c r="HK799" s="3"/>
      <c r="HL799" s="3"/>
      <c r="HM799" s="3"/>
      <c r="HN799" s="3"/>
      <c r="HO799" s="3"/>
      <c r="HP799" s="3"/>
      <c r="HQ799" s="3"/>
      <c r="HR799" s="3"/>
      <c r="HS799" s="3"/>
      <c r="HT799" s="3"/>
    </row>
    <row r="800">
      <c r="A800" s="14"/>
      <c r="B800" s="3"/>
      <c r="C800" s="3"/>
      <c r="D800" s="3"/>
      <c r="E800" s="3"/>
      <c r="F800" s="5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7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D800" s="3"/>
      <c r="GE800" s="3"/>
      <c r="GF800" s="3"/>
      <c r="GG800" s="3"/>
      <c r="GH800" s="3"/>
      <c r="GI800" s="3"/>
      <c r="GJ800" s="3"/>
      <c r="GK800" s="3"/>
      <c r="GL800" s="3"/>
      <c r="GM800" s="3"/>
      <c r="GN800" s="3"/>
      <c r="GO800" s="3"/>
      <c r="GP800" s="3"/>
      <c r="GQ800" s="3"/>
      <c r="GR800" s="3"/>
      <c r="GS800" s="3"/>
      <c r="GT800" s="3"/>
      <c r="GU800" s="3"/>
      <c r="GV800" s="3"/>
      <c r="GW800" s="3"/>
      <c r="GX800" s="3"/>
      <c r="GY800" s="3"/>
      <c r="GZ800" s="3"/>
      <c r="HA800" s="3"/>
      <c r="HB800" s="3"/>
      <c r="HC800" s="3"/>
      <c r="HD800" s="3"/>
      <c r="HE800" s="3"/>
      <c r="HF800" s="3"/>
      <c r="HG800" s="3"/>
      <c r="HH800" s="3"/>
      <c r="HI800" s="3"/>
      <c r="HJ800" s="3"/>
      <c r="HK800" s="3"/>
      <c r="HL800" s="3"/>
      <c r="HM800" s="3"/>
      <c r="HN800" s="3"/>
      <c r="HO800" s="3"/>
      <c r="HP800" s="3"/>
      <c r="HQ800" s="3"/>
      <c r="HR800" s="3"/>
      <c r="HS800" s="3"/>
      <c r="HT800" s="3"/>
    </row>
    <row r="801">
      <c r="A801" s="14"/>
      <c r="B801" s="3"/>
      <c r="C801" s="3"/>
      <c r="D801" s="3"/>
      <c r="E801" s="3"/>
      <c r="F801" s="5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7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FX801" s="3"/>
      <c r="FY801" s="3"/>
      <c r="FZ801" s="3"/>
      <c r="GA801" s="3"/>
      <c r="GB801" s="3"/>
      <c r="GC801" s="3"/>
      <c r="GD801" s="3"/>
      <c r="GE801" s="3"/>
      <c r="GF801" s="3"/>
      <c r="GG801" s="3"/>
      <c r="GH801" s="3"/>
      <c r="GI801" s="3"/>
      <c r="GJ801" s="3"/>
      <c r="GK801" s="3"/>
      <c r="GL801" s="3"/>
      <c r="GM801" s="3"/>
      <c r="GN801" s="3"/>
      <c r="GO801" s="3"/>
      <c r="GP801" s="3"/>
      <c r="GQ801" s="3"/>
      <c r="GR801" s="3"/>
      <c r="GS801" s="3"/>
      <c r="GT801" s="3"/>
      <c r="GU801" s="3"/>
      <c r="GV801" s="3"/>
      <c r="GW801" s="3"/>
      <c r="GX801" s="3"/>
      <c r="GY801" s="3"/>
      <c r="GZ801" s="3"/>
      <c r="HA801" s="3"/>
      <c r="HB801" s="3"/>
      <c r="HC801" s="3"/>
      <c r="HD801" s="3"/>
      <c r="HE801" s="3"/>
      <c r="HF801" s="3"/>
      <c r="HG801" s="3"/>
      <c r="HH801" s="3"/>
      <c r="HI801" s="3"/>
      <c r="HJ801" s="3"/>
      <c r="HK801" s="3"/>
      <c r="HL801" s="3"/>
      <c r="HM801" s="3"/>
      <c r="HN801" s="3"/>
      <c r="HO801" s="3"/>
      <c r="HP801" s="3"/>
      <c r="HQ801" s="3"/>
      <c r="HR801" s="3"/>
      <c r="HS801" s="3"/>
      <c r="HT801" s="3"/>
    </row>
    <row r="802">
      <c r="A802" s="14"/>
      <c r="B802" s="3"/>
      <c r="C802" s="3"/>
      <c r="D802" s="3"/>
      <c r="E802" s="3"/>
      <c r="F802" s="5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7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3"/>
      <c r="FW802" s="3"/>
      <c r="FX802" s="3"/>
      <c r="FY802" s="3"/>
      <c r="FZ802" s="3"/>
      <c r="GA802" s="3"/>
      <c r="GB802" s="3"/>
      <c r="GC802" s="3"/>
      <c r="GD802" s="3"/>
      <c r="GE802" s="3"/>
      <c r="GF802" s="3"/>
      <c r="GG802" s="3"/>
      <c r="GH802" s="3"/>
      <c r="GI802" s="3"/>
      <c r="GJ802" s="3"/>
      <c r="GK802" s="3"/>
      <c r="GL802" s="3"/>
      <c r="GM802" s="3"/>
      <c r="GN802" s="3"/>
      <c r="GO802" s="3"/>
      <c r="GP802" s="3"/>
      <c r="GQ802" s="3"/>
      <c r="GR802" s="3"/>
      <c r="GS802" s="3"/>
      <c r="GT802" s="3"/>
      <c r="GU802" s="3"/>
      <c r="GV802" s="3"/>
      <c r="GW802" s="3"/>
      <c r="GX802" s="3"/>
      <c r="GY802" s="3"/>
      <c r="GZ802" s="3"/>
      <c r="HA802" s="3"/>
      <c r="HB802" s="3"/>
      <c r="HC802" s="3"/>
      <c r="HD802" s="3"/>
      <c r="HE802" s="3"/>
      <c r="HF802" s="3"/>
      <c r="HG802" s="3"/>
      <c r="HH802" s="3"/>
      <c r="HI802" s="3"/>
      <c r="HJ802" s="3"/>
      <c r="HK802" s="3"/>
      <c r="HL802" s="3"/>
      <c r="HM802" s="3"/>
      <c r="HN802" s="3"/>
      <c r="HO802" s="3"/>
      <c r="HP802" s="3"/>
      <c r="HQ802" s="3"/>
      <c r="HR802" s="3"/>
      <c r="HS802" s="3"/>
      <c r="HT802" s="3"/>
    </row>
    <row r="803">
      <c r="A803" s="14"/>
      <c r="B803" s="3"/>
      <c r="C803" s="3"/>
      <c r="D803" s="3"/>
      <c r="E803" s="3"/>
      <c r="F803" s="5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7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FX803" s="3"/>
      <c r="FY803" s="3"/>
      <c r="FZ803" s="3"/>
      <c r="GA803" s="3"/>
      <c r="GB803" s="3"/>
      <c r="GC803" s="3"/>
      <c r="GD803" s="3"/>
      <c r="GE803" s="3"/>
      <c r="GF803" s="3"/>
      <c r="GG803" s="3"/>
      <c r="GH803" s="3"/>
      <c r="GI803" s="3"/>
      <c r="GJ803" s="3"/>
      <c r="GK803" s="3"/>
      <c r="GL803" s="3"/>
      <c r="GM803" s="3"/>
      <c r="GN803" s="3"/>
      <c r="GO803" s="3"/>
      <c r="GP803" s="3"/>
      <c r="GQ803" s="3"/>
      <c r="GR803" s="3"/>
      <c r="GS803" s="3"/>
      <c r="GT803" s="3"/>
      <c r="GU803" s="3"/>
      <c r="GV803" s="3"/>
      <c r="GW803" s="3"/>
      <c r="GX803" s="3"/>
      <c r="GY803" s="3"/>
      <c r="GZ803" s="3"/>
      <c r="HA803" s="3"/>
      <c r="HB803" s="3"/>
      <c r="HC803" s="3"/>
      <c r="HD803" s="3"/>
      <c r="HE803" s="3"/>
      <c r="HF803" s="3"/>
      <c r="HG803" s="3"/>
      <c r="HH803" s="3"/>
      <c r="HI803" s="3"/>
      <c r="HJ803" s="3"/>
      <c r="HK803" s="3"/>
      <c r="HL803" s="3"/>
      <c r="HM803" s="3"/>
      <c r="HN803" s="3"/>
      <c r="HO803" s="3"/>
      <c r="HP803" s="3"/>
      <c r="HQ803" s="3"/>
      <c r="HR803" s="3"/>
      <c r="HS803" s="3"/>
      <c r="HT803" s="3"/>
    </row>
    <row r="804">
      <c r="A804" s="14"/>
      <c r="B804" s="3"/>
      <c r="C804" s="3"/>
      <c r="D804" s="3"/>
      <c r="E804" s="3"/>
      <c r="F804" s="5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7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  <c r="FZ804" s="3"/>
      <c r="GA804" s="3"/>
      <c r="GB804" s="3"/>
      <c r="GC804" s="3"/>
      <c r="GD804" s="3"/>
      <c r="GE804" s="3"/>
      <c r="GF804" s="3"/>
      <c r="GG804" s="3"/>
      <c r="GH804" s="3"/>
      <c r="GI804" s="3"/>
      <c r="GJ804" s="3"/>
      <c r="GK804" s="3"/>
      <c r="GL804" s="3"/>
      <c r="GM804" s="3"/>
      <c r="GN804" s="3"/>
      <c r="GO804" s="3"/>
      <c r="GP804" s="3"/>
      <c r="GQ804" s="3"/>
      <c r="GR804" s="3"/>
      <c r="GS804" s="3"/>
      <c r="GT804" s="3"/>
      <c r="GU804" s="3"/>
      <c r="GV804" s="3"/>
      <c r="GW804" s="3"/>
      <c r="GX804" s="3"/>
      <c r="GY804" s="3"/>
      <c r="GZ804" s="3"/>
      <c r="HA804" s="3"/>
      <c r="HB804" s="3"/>
      <c r="HC804" s="3"/>
      <c r="HD804" s="3"/>
      <c r="HE804" s="3"/>
      <c r="HF804" s="3"/>
      <c r="HG804" s="3"/>
      <c r="HH804" s="3"/>
      <c r="HI804" s="3"/>
      <c r="HJ804" s="3"/>
      <c r="HK804" s="3"/>
      <c r="HL804" s="3"/>
      <c r="HM804" s="3"/>
      <c r="HN804" s="3"/>
      <c r="HO804" s="3"/>
      <c r="HP804" s="3"/>
      <c r="HQ804" s="3"/>
      <c r="HR804" s="3"/>
      <c r="HS804" s="3"/>
      <c r="HT804" s="3"/>
    </row>
    <row r="805">
      <c r="A805" s="14"/>
      <c r="B805" s="3"/>
      <c r="C805" s="3"/>
      <c r="D805" s="3"/>
      <c r="E805" s="3"/>
      <c r="F805" s="5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7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3"/>
      <c r="FW805" s="3"/>
      <c r="FX805" s="3"/>
      <c r="FY805" s="3"/>
      <c r="FZ805" s="3"/>
      <c r="GA805" s="3"/>
      <c r="GB805" s="3"/>
      <c r="GC805" s="3"/>
      <c r="GD805" s="3"/>
      <c r="GE805" s="3"/>
      <c r="GF805" s="3"/>
      <c r="GG805" s="3"/>
      <c r="GH805" s="3"/>
      <c r="GI805" s="3"/>
      <c r="GJ805" s="3"/>
      <c r="GK805" s="3"/>
      <c r="GL805" s="3"/>
      <c r="GM805" s="3"/>
      <c r="GN805" s="3"/>
      <c r="GO805" s="3"/>
      <c r="GP805" s="3"/>
      <c r="GQ805" s="3"/>
      <c r="GR805" s="3"/>
      <c r="GS805" s="3"/>
      <c r="GT805" s="3"/>
      <c r="GU805" s="3"/>
      <c r="GV805" s="3"/>
      <c r="GW805" s="3"/>
      <c r="GX805" s="3"/>
      <c r="GY805" s="3"/>
      <c r="GZ805" s="3"/>
      <c r="HA805" s="3"/>
      <c r="HB805" s="3"/>
      <c r="HC805" s="3"/>
      <c r="HD805" s="3"/>
      <c r="HE805" s="3"/>
      <c r="HF805" s="3"/>
      <c r="HG805" s="3"/>
      <c r="HH805" s="3"/>
      <c r="HI805" s="3"/>
      <c r="HJ805" s="3"/>
      <c r="HK805" s="3"/>
      <c r="HL805" s="3"/>
      <c r="HM805" s="3"/>
      <c r="HN805" s="3"/>
      <c r="HO805" s="3"/>
      <c r="HP805" s="3"/>
      <c r="HQ805" s="3"/>
      <c r="HR805" s="3"/>
      <c r="HS805" s="3"/>
      <c r="HT805" s="3"/>
    </row>
    <row r="806">
      <c r="A806" s="14"/>
      <c r="B806" s="3"/>
      <c r="C806" s="3"/>
      <c r="D806" s="3"/>
      <c r="E806" s="3"/>
      <c r="F806" s="5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7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D806" s="3"/>
      <c r="GE806" s="3"/>
      <c r="GF806" s="3"/>
      <c r="GG806" s="3"/>
      <c r="GH806" s="3"/>
      <c r="GI806" s="3"/>
      <c r="GJ806" s="3"/>
      <c r="GK806" s="3"/>
      <c r="GL806" s="3"/>
      <c r="GM806" s="3"/>
      <c r="GN806" s="3"/>
      <c r="GO806" s="3"/>
      <c r="GP806" s="3"/>
      <c r="GQ806" s="3"/>
      <c r="GR806" s="3"/>
      <c r="GS806" s="3"/>
      <c r="GT806" s="3"/>
      <c r="GU806" s="3"/>
      <c r="GV806" s="3"/>
      <c r="GW806" s="3"/>
      <c r="GX806" s="3"/>
      <c r="GY806" s="3"/>
      <c r="GZ806" s="3"/>
      <c r="HA806" s="3"/>
      <c r="HB806" s="3"/>
      <c r="HC806" s="3"/>
      <c r="HD806" s="3"/>
      <c r="HE806" s="3"/>
      <c r="HF806" s="3"/>
      <c r="HG806" s="3"/>
      <c r="HH806" s="3"/>
      <c r="HI806" s="3"/>
      <c r="HJ806" s="3"/>
      <c r="HK806" s="3"/>
      <c r="HL806" s="3"/>
      <c r="HM806" s="3"/>
      <c r="HN806" s="3"/>
      <c r="HO806" s="3"/>
      <c r="HP806" s="3"/>
      <c r="HQ806" s="3"/>
      <c r="HR806" s="3"/>
      <c r="HS806" s="3"/>
      <c r="HT806" s="3"/>
    </row>
    <row r="807">
      <c r="A807" s="14"/>
      <c r="B807" s="3"/>
      <c r="C807" s="3"/>
      <c r="D807" s="3"/>
      <c r="E807" s="3"/>
      <c r="F807" s="5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7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FX807" s="3"/>
      <c r="FY807" s="3"/>
      <c r="FZ807" s="3"/>
      <c r="GA807" s="3"/>
      <c r="GB807" s="3"/>
      <c r="GC807" s="3"/>
      <c r="GD807" s="3"/>
      <c r="GE807" s="3"/>
      <c r="GF807" s="3"/>
      <c r="GG807" s="3"/>
      <c r="GH807" s="3"/>
      <c r="GI807" s="3"/>
      <c r="GJ807" s="3"/>
      <c r="GK807" s="3"/>
      <c r="GL807" s="3"/>
      <c r="GM807" s="3"/>
      <c r="GN807" s="3"/>
      <c r="GO807" s="3"/>
      <c r="GP807" s="3"/>
      <c r="GQ807" s="3"/>
      <c r="GR807" s="3"/>
      <c r="GS807" s="3"/>
      <c r="GT807" s="3"/>
      <c r="GU807" s="3"/>
      <c r="GV807" s="3"/>
      <c r="GW807" s="3"/>
      <c r="GX807" s="3"/>
      <c r="GY807" s="3"/>
      <c r="GZ807" s="3"/>
      <c r="HA807" s="3"/>
      <c r="HB807" s="3"/>
      <c r="HC807" s="3"/>
      <c r="HD807" s="3"/>
      <c r="HE807" s="3"/>
      <c r="HF807" s="3"/>
      <c r="HG807" s="3"/>
      <c r="HH807" s="3"/>
      <c r="HI807" s="3"/>
      <c r="HJ807" s="3"/>
      <c r="HK807" s="3"/>
      <c r="HL807" s="3"/>
      <c r="HM807" s="3"/>
      <c r="HN807" s="3"/>
      <c r="HO807" s="3"/>
      <c r="HP807" s="3"/>
      <c r="HQ807" s="3"/>
      <c r="HR807" s="3"/>
      <c r="HS807" s="3"/>
      <c r="HT807" s="3"/>
    </row>
    <row r="808">
      <c r="A808" s="14"/>
      <c r="B808" s="3"/>
      <c r="C808" s="3"/>
      <c r="D808" s="3"/>
      <c r="E808" s="3"/>
      <c r="F808" s="5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7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FX808" s="3"/>
      <c r="FY808" s="3"/>
      <c r="FZ808" s="3"/>
      <c r="GA808" s="3"/>
      <c r="GB808" s="3"/>
      <c r="GC808" s="3"/>
      <c r="GD808" s="3"/>
      <c r="GE808" s="3"/>
      <c r="GF808" s="3"/>
      <c r="GG808" s="3"/>
      <c r="GH808" s="3"/>
      <c r="GI808" s="3"/>
      <c r="GJ808" s="3"/>
      <c r="GK808" s="3"/>
      <c r="GL808" s="3"/>
      <c r="GM808" s="3"/>
      <c r="GN808" s="3"/>
      <c r="GO808" s="3"/>
      <c r="GP808" s="3"/>
      <c r="GQ808" s="3"/>
      <c r="GR808" s="3"/>
      <c r="GS808" s="3"/>
      <c r="GT808" s="3"/>
      <c r="GU808" s="3"/>
      <c r="GV808" s="3"/>
      <c r="GW808" s="3"/>
      <c r="GX808" s="3"/>
      <c r="GY808" s="3"/>
      <c r="GZ808" s="3"/>
      <c r="HA808" s="3"/>
      <c r="HB808" s="3"/>
      <c r="HC808" s="3"/>
      <c r="HD808" s="3"/>
      <c r="HE808" s="3"/>
      <c r="HF808" s="3"/>
      <c r="HG808" s="3"/>
      <c r="HH808" s="3"/>
      <c r="HI808" s="3"/>
      <c r="HJ808" s="3"/>
      <c r="HK808" s="3"/>
      <c r="HL808" s="3"/>
      <c r="HM808" s="3"/>
      <c r="HN808" s="3"/>
      <c r="HO808" s="3"/>
      <c r="HP808" s="3"/>
      <c r="HQ808" s="3"/>
      <c r="HR808" s="3"/>
      <c r="HS808" s="3"/>
      <c r="HT808" s="3"/>
    </row>
    <row r="809">
      <c r="A809" s="14"/>
      <c r="B809" s="3"/>
      <c r="C809" s="3"/>
      <c r="D809" s="3"/>
      <c r="E809" s="3"/>
      <c r="F809" s="5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7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D809" s="3"/>
      <c r="GE809" s="3"/>
      <c r="GF809" s="3"/>
      <c r="GG809" s="3"/>
      <c r="GH809" s="3"/>
      <c r="GI809" s="3"/>
      <c r="GJ809" s="3"/>
      <c r="GK809" s="3"/>
      <c r="GL809" s="3"/>
      <c r="GM809" s="3"/>
      <c r="GN809" s="3"/>
      <c r="GO809" s="3"/>
      <c r="GP809" s="3"/>
      <c r="GQ809" s="3"/>
      <c r="GR809" s="3"/>
      <c r="GS809" s="3"/>
      <c r="GT809" s="3"/>
      <c r="GU809" s="3"/>
      <c r="GV809" s="3"/>
      <c r="GW809" s="3"/>
      <c r="GX809" s="3"/>
      <c r="GY809" s="3"/>
      <c r="GZ809" s="3"/>
      <c r="HA809" s="3"/>
      <c r="HB809" s="3"/>
      <c r="HC809" s="3"/>
      <c r="HD809" s="3"/>
      <c r="HE809" s="3"/>
      <c r="HF809" s="3"/>
      <c r="HG809" s="3"/>
      <c r="HH809" s="3"/>
      <c r="HI809" s="3"/>
      <c r="HJ809" s="3"/>
      <c r="HK809" s="3"/>
      <c r="HL809" s="3"/>
      <c r="HM809" s="3"/>
      <c r="HN809" s="3"/>
      <c r="HO809" s="3"/>
      <c r="HP809" s="3"/>
      <c r="HQ809" s="3"/>
      <c r="HR809" s="3"/>
      <c r="HS809" s="3"/>
      <c r="HT809" s="3"/>
    </row>
    <row r="810">
      <c r="A810" s="14"/>
      <c r="B810" s="3"/>
      <c r="C810" s="3"/>
      <c r="D810" s="3"/>
      <c r="E810" s="3"/>
      <c r="F810" s="5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7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FX810" s="3"/>
      <c r="FY810" s="3"/>
      <c r="FZ810" s="3"/>
      <c r="GA810" s="3"/>
      <c r="GB810" s="3"/>
      <c r="GC810" s="3"/>
      <c r="GD810" s="3"/>
      <c r="GE810" s="3"/>
      <c r="GF810" s="3"/>
      <c r="GG810" s="3"/>
      <c r="GH810" s="3"/>
      <c r="GI810" s="3"/>
      <c r="GJ810" s="3"/>
      <c r="GK810" s="3"/>
      <c r="GL810" s="3"/>
      <c r="GM810" s="3"/>
      <c r="GN810" s="3"/>
      <c r="GO810" s="3"/>
      <c r="GP810" s="3"/>
      <c r="GQ810" s="3"/>
      <c r="GR810" s="3"/>
      <c r="GS810" s="3"/>
      <c r="GT810" s="3"/>
      <c r="GU810" s="3"/>
      <c r="GV810" s="3"/>
      <c r="GW810" s="3"/>
      <c r="GX810" s="3"/>
      <c r="GY810" s="3"/>
      <c r="GZ810" s="3"/>
      <c r="HA810" s="3"/>
      <c r="HB810" s="3"/>
      <c r="HC810" s="3"/>
      <c r="HD810" s="3"/>
      <c r="HE810" s="3"/>
      <c r="HF810" s="3"/>
      <c r="HG810" s="3"/>
      <c r="HH810" s="3"/>
      <c r="HI810" s="3"/>
      <c r="HJ810" s="3"/>
      <c r="HK810" s="3"/>
      <c r="HL810" s="3"/>
      <c r="HM810" s="3"/>
      <c r="HN810" s="3"/>
      <c r="HO810" s="3"/>
      <c r="HP810" s="3"/>
      <c r="HQ810" s="3"/>
      <c r="HR810" s="3"/>
      <c r="HS810" s="3"/>
      <c r="HT810" s="3"/>
    </row>
    <row r="811">
      <c r="A811" s="14"/>
      <c r="B811" s="3"/>
      <c r="C811" s="3"/>
      <c r="D811" s="3"/>
      <c r="E811" s="3"/>
      <c r="F811" s="5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7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FX811" s="3"/>
      <c r="FY811" s="3"/>
      <c r="FZ811" s="3"/>
      <c r="GA811" s="3"/>
      <c r="GB811" s="3"/>
      <c r="GC811" s="3"/>
      <c r="GD811" s="3"/>
      <c r="GE811" s="3"/>
      <c r="GF811" s="3"/>
      <c r="GG811" s="3"/>
      <c r="GH811" s="3"/>
      <c r="GI811" s="3"/>
      <c r="GJ811" s="3"/>
      <c r="GK811" s="3"/>
      <c r="GL811" s="3"/>
      <c r="GM811" s="3"/>
      <c r="GN811" s="3"/>
      <c r="GO811" s="3"/>
      <c r="GP811" s="3"/>
      <c r="GQ811" s="3"/>
      <c r="GR811" s="3"/>
      <c r="GS811" s="3"/>
      <c r="GT811" s="3"/>
      <c r="GU811" s="3"/>
      <c r="GV811" s="3"/>
      <c r="GW811" s="3"/>
      <c r="GX811" s="3"/>
      <c r="GY811" s="3"/>
      <c r="GZ811" s="3"/>
      <c r="HA811" s="3"/>
      <c r="HB811" s="3"/>
      <c r="HC811" s="3"/>
      <c r="HD811" s="3"/>
      <c r="HE811" s="3"/>
      <c r="HF811" s="3"/>
      <c r="HG811" s="3"/>
      <c r="HH811" s="3"/>
      <c r="HI811" s="3"/>
      <c r="HJ811" s="3"/>
      <c r="HK811" s="3"/>
      <c r="HL811" s="3"/>
      <c r="HM811" s="3"/>
      <c r="HN811" s="3"/>
      <c r="HO811" s="3"/>
      <c r="HP811" s="3"/>
      <c r="HQ811" s="3"/>
      <c r="HR811" s="3"/>
      <c r="HS811" s="3"/>
      <c r="HT811" s="3"/>
    </row>
    <row r="812">
      <c r="A812" s="14"/>
      <c r="B812" s="3"/>
      <c r="C812" s="3"/>
      <c r="D812" s="3"/>
      <c r="E812" s="3"/>
      <c r="F812" s="5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7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  <c r="FZ812" s="3"/>
      <c r="GA812" s="3"/>
      <c r="GB812" s="3"/>
      <c r="GC812" s="3"/>
      <c r="GD812" s="3"/>
      <c r="GE812" s="3"/>
      <c r="GF812" s="3"/>
      <c r="GG812" s="3"/>
      <c r="GH812" s="3"/>
      <c r="GI812" s="3"/>
      <c r="GJ812" s="3"/>
      <c r="GK812" s="3"/>
      <c r="GL812" s="3"/>
      <c r="GM812" s="3"/>
      <c r="GN812" s="3"/>
      <c r="GO812" s="3"/>
      <c r="GP812" s="3"/>
      <c r="GQ812" s="3"/>
      <c r="GR812" s="3"/>
      <c r="GS812" s="3"/>
      <c r="GT812" s="3"/>
      <c r="GU812" s="3"/>
      <c r="GV812" s="3"/>
      <c r="GW812" s="3"/>
      <c r="GX812" s="3"/>
      <c r="GY812" s="3"/>
      <c r="GZ812" s="3"/>
      <c r="HA812" s="3"/>
      <c r="HB812" s="3"/>
      <c r="HC812" s="3"/>
      <c r="HD812" s="3"/>
      <c r="HE812" s="3"/>
      <c r="HF812" s="3"/>
      <c r="HG812" s="3"/>
      <c r="HH812" s="3"/>
      <c r="HI812" s="3"/>
      <c r="HJ812" s="3"/>
      <c r="HK812" s="3"/>
      <c r="HL812" s="3"/>
      <c r="HM812" s="3"/>
      <c r="HN812" s="3"/>
      <c r="HO812" s="3"/>
      <c r="HP812" s="3"/>
      <c r="HQ812" s="3"/>
      <c r="HR812" s="3"/>
      <c r="HS812" s="3"/>
      <c r="HT812" s="3"/>
    </row>
    <row r="813">
      <c r="A813" s="14"/>
      <c r="B813" s="3"/>
      <c r="C813" s="3"/>
      <c r="D813" s="3"/>
      <c r="E813" s="3"/>
      <c r="F813" s="5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7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  <c r="FZ813" s="3"/>
      <c r="GA813" s="3"/>
      <c r="GB813" s="3"/>
      <c r="GC813" s="3"/>
      <c r="GD813" s="3"/>
      <c r="GE813" s="3"/>
      <c r="GF813" s="3"/>
      <c r="GG813" s="3"/>
      <c r="GH813" s="3"/>
      <c r="GI813" s="3"/>
      <c r="GJ813" s="3"/>
      <c r="GK813" s="3"/>
      <c r="GL813" s="3"/>
      <c r="GM813" s="3"/>
      <c r="GN813" s="3"/>
      <c r="GO813" s="3"/>
      <c r="GP813" s="3"/>
      <c r="GQ813" s="3"/>
      <c r="GR813" s="3"/>
      <c r="GS813" s="3"/>
      <c r="GT813" s="3"/>
      <c r="GU813" s="3"/>
      <c r="GV813" s="3"/>
      <c r="GW813" s="3"/>
      <c r="GX813" s="3"/>
      <c r="GY813" s="3"/>
      <c r="GZ813" s="3"/>
      <c r="HA813" s="3"/>
      <c r="HB813" s="3"/>
      <c r="HC813" s="3"/>
      <c r="HD813" s="3"/>
      <c r="HE813" s="3"/>
      <c r="HF813" s="3"/>
      <c r="HG813" s="3"/>
      <c r="HH813" s="3"/>
      <c r="HI813" s="3"/>
      <c r="HJ813" s="3"/>
      <c r="HK813" s="3"/>
      <c r="HL813" s="3"/>
      <c r="HM813" s="3"/>
      <c r="HN813" s="3"/>
      <c r="HO813" s="3"/>
      <c r="HP813" s="3"/>
      <c r="HQ813" s="3"/>
      <c r="HR813" s="3"/>
      <c r="HS813" s="3"/>
      <c r="HT813" s="3"/>
    </row>
    <row r="814">
      <c r="A814" s="14"/>
      <c r="B814" s="3"/>
      <c r="C814" s="3"/>
      <c r="D814" s="3"/>
      <c r="E814" s="3"/>
      <c r="F814" s="5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7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FX814" s="3"/>
      <c r="FY814" s="3"/>
      <c r="FZ814" s="3"/>
      <c r="GA814" s="3"/>
      <c r="GB814" s="3"/>
      <c r="GC814" s="3"/>
      <c r="GD814" s="3"/>
      <c r="GE814" s="3"/>
      <c r="GF814" s="3"/>
      <c r="GG814" s="3"/>
      <c r="GH814" s="3"/>
      <c r="GI814" s="3"/>
      <c r="GJ814" s="3"/>
      <c r="GK814" s="3"/>
      <c r="GL814" s="3"/>
      <c r="GM814" s="3"/>
      <c r="GN814" s="3"/>
      <c r="GO814" s="3"/>
      <c r="GP814" s="3"/>
      <c r="GQ814" s="3"/>
      <c r="GR814" s="3"/>
      <c r="GS814" s="3"/>
      <c r="GT814" s="3"/>
      <c r="GU814" s="3"/>
      <c r="GV814" s="3"/>
      <c r="GW814" s="3"/>
      <c r="GX814" s="3"/>
      <c r="GY814" s="3"/>
      <c r="GZ814" s="3"/>
      <c r="HA814" s="3"/>
      <c r="HB814" s="3"/>
      <c r="HC814" s="3"/>
      <c r="HD814" s="3"/>
      <c r="HE814" s="3"/>
      <c r="HF814" s="3"/>
      <c r="HG814" s="3"/>
      <c r="HH814" s="3"/>
      <c r="HI814" s="3"/>
      <c r="HJ814" s="3"/>
      <c r="HK814" s="3"/>
      <c r="HL814" s="3"/>
      <c r="HM814" s="3"/>
      <c r="HN814" s="3"/>
      <c r="HO814" s="3"/>
      <c r="HP814" s="3"/>
      <c r="HQ814" s="3"/>
      <c r="HR814" s="3"/>
      <c r="HS814" s="3"/>
      <c r="HT814" s="3"/>
    </row>
    <row r="815">
      <c r="A815" s="14"/>
      <c r="B815" s="3"/>
      <c r="C815" s="3"/>
      <c r="D815" s="3"/>
      <c r="E815" s="3"/>
      <c r="F815" s="5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7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FX815" s="3"/>
      <c r="FY815" s="3"/>
      <c r="FZ815" s="3"/>
      <c r="GA815" s="3"/>
      <c r="GB815" s="3"/>
      <c r="GC815" s="3"/>
      <c r="GD815" s="3"/>
      <c r="GE815" s="3"/>
      <c r="GF815" s="3"/>
      <c r="GG815" s="3"/>
      <c r="GH815" s="3"/>
      <c r="GI815" s="3"/>
      <c r="GJ815" s="3"/>
      <c r="GK815" s="3"/>
      <c r="GL815" s="3"/>
      <c r="GM815" s="3"/>
      <c r="GN815" s="3"/>
      <c r="GO815" s="3"/>
      <c r="GP815" s="3"/>
      <c r="GQ815" s="3"/>
      <c r="GR815" s="3"/>
      <c r="GS815" s="3"/>
      <c r="GT815" s="3"/>
      <c r="GU815" s="3"/>
      <c r="GV815" s="3"/>
      <c r="GW815" s="3"/>
      <c r="GX815" s="3"/>
      <c r="GY815" s="3"/>
      <c r="GZ815" s="3"/>
      <c r="HA815" s="3"/>
      <c r="HB815" s="3"/>
      <c r="HC815" s="3"/>
      <c r="HD815" s="3"/>
      <c r="HE815" s="3"/>
      <c r="HF815" s="3"/>
      <c r="HG815" s="3"/>
      <c r="HH815" s="3"/>
      <c r="HI815" s="3"/>
      <c r="HJ815" s="3"/>
      <c r="HK815" s="3"/>
      <c r="HL815" s="3"/>
      <c r="HM815" s="3"/>
      <c r="HN815" s="3"/>
      <c r="HO815" s="3"/>
      <c r="HP815" s="3"/>
      <c r="HQ815" s="3"/>
      <c r="HR815" s="3"/>
      <c r="HS815" s="3"/>
      <c r="HT815" s="3"/>
    </row>
    <row r="816">
      <c r="A816" s="14"/>
      <c r="B816" s="3"/>
      <c r="C816" s="3"/>
      <c r="D816" s="3"/>
      <c r="E816" s="3"/>
      <c r="F816" s="5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7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  <c r="FZ816" s="3"/>
      <c r="GA816" s="3"/>
      <c r="GB816" s="3"/>
      <c r="GC816" s="3"/>
      <c r="GD816" s="3"/>
      <c r="GE816" s="3"/>
      <c r="GF816" s="3"/>
      <c r="GG816" s="3"/>
      <c r="GH816" s="3"/>
      <c r="GI816" s="3"/>
      <c r="GJ816" s="3"/>
      <c r="GK816" s="3"/>
      <c r="GL816" s="3"/>
      <c r="GM816" s="3"/>
      <c r="GN816" s="3"/>
      <c r="GO816" s="3"/>
      <c r="GP816" s="3"/>
      <c r="GQ816" s="3"/>
      <c r="GR816" s="3"/>
      <c r="GS816" s="3"/>
      <c r="GT816" s="3"/>
      <c r="GU816" s="3"/>
      <c r="GV816" s="3"/>
      <c r="GW816" s="3"/>
      <c r="GX816" s="3"/>
      <c r="GY816" s="3"/>
      <c r="GZ816" s="3"/>
      <c r="HA816" s="3"/>
      <c r="HB816" s="3"/>
      <c r="HC816" s="3"/>
      <c r="HD816" s="3"/>
      <c r="HE816" s="3"/>
      <c r="HF816" s="3"/>
      <c r="HG816" s="3"/>
      <c r="HH816" s="3"/>
      <c r="HI816" s="3"/>
      <c r="HJ816" s="3"/>
      <c r="HK816" s="3"/>
      <c r="HL816" s="3"/>
      <c r="HM816" s="3"/>
      <c r="HN816" s="3"/>
      <c r="HO816" s="3"/>
      <c r="HP816" s="3"/>
      <c r="HQ816" s="3"/>
      <c r="HR816" s="3"/>
      <c r="HS816" s="3"/>
      <c r="HT816" s="3"/>
    </row>
    <row r="817">
      <c r="A817" s="14"/>
      <c r="B817" s="3"/>
      <c r="C817" s="3"/>
      <c r="D817" s="3"/>
      <c r="E817" s="3"/>
      <c r="F817" s="5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7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FX817" s="3"/>
      <c r="FY817" s="3"/>
      <c r="FZ817" s="3"/>
      <c r="GA817" s="3"/>
      <c r="GB817" s="3"/>
      <c r="GC817" s="3"/>
      <c r="GD817" s="3"/>
      <c r="GE817" s="3"/>
      <c r="GF817" s="3"/>
      <c r="GG817" s="3"/>
      <c r="GH817" s="3"/>
      <c r="GI817" s="3"/>
      <c r="GJ817" s="3"/>
      <c r="GK817" s="3"/>
      <c r="GL817" s="3"/>
      <c r="GM817" s="3"/>
      <c r="GN817" s="3"/>
      <c r="GO817" s="3"/>
      <c r="GP817" s="3"/>
      <c r="GQ817" s="3"/>
      <c r="GR817" s="3"/>
      <c r="GS817" s="3"/>
      <c r="GT817" s="3"/>
      <c r="GU817" s="3"/>
      <c r="GV817" s="3"/>
      <c r="GW817" s="3"/>
      <c r="GX817" s="3"/>
      <c r="GY817" s="3"/>
      <c r="GZ817" s="3"/>
      <c r="HA817" s="3"/>
      <c r="HB817" s="3"/>
      <c r="HC817" s="3"/>
      <c r="HD817" s="3"/>
      <c r="HE817" s="3"/>
      <c r="HF817" s="3"/>
      <c r="HG817" s="3"/>
      <c r="HH817" s="3"/>
      <c r="HI817" s="3"/>
      <c r="HJ817" s="3"/>
      <c r="HK817" s="3"/>
      <c r="HL817" s="3"/>
      <c r="HM817" s="3"/>
      <c r="HN817" s="3"/>
      <c r="HO817" s="3"/>
      <c r="HP817" s="3"/>
      <c r="HQ817" s="3"/>
      <c r="HR817" s="3"/>
      <c r="HS817" s="3"/>
      <c r="HT817" s="3"/>
    </row>
    <row r="818">
      <c r="A818" s="14"/>
      <c r="B818" s="3"/>
      <c r="C818" s="3"/>
      <c r="D818" s="3"/>
      <c r="E818" s="3"/>
      <c r="F818" s="5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7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  <c r="FZ818" s="3"/>
      <c r="GA818" s="3"/>
      <c r="GB818" s="3"/>
      <c r="GC818" s="3"/>
      <c r="GD818" s="3"/>
      <c r="GE818" s="3"/>
      <c r="GF818" s="3"/>
      <c r="GG818" s="3"/>
      <c r="GH818" s="3"/>
      <c r="GI818" s="3"/>
      <c r="GJ818" s="3"/>
      <c r="GK818" s="3"/>
      <c r="GL818" s="3"/>
      <c r="GM818" s="3"/>
      <c r="GN818" s="3"/>
      <c r="GO818" s="3"/>
      <c r="GP818" s="3"/>
      <c r="GQ818" s="3"/>
      <c r="GR818" s="3"/>
      <c r="GS818" s="3"/>
      <c r="GT818" s="3"/>
      <c r="GU818" s="3"/>
      <c r="GV818" s="3"/>
      <c r="GW818" s="3"/>
      <c r="GX818" s="3"/>
      <c r="GY818" s="3"/>
      <c r="GZ818" s="3"/>
      <c r="HA818" s="3"/>
      <c r="HB818" s="3"/>
      <c r="HC818" s="3"/>
      <c r="HD818" s="3"/>
      <c r="HE818" s="3"/>
      <c r="HF818" s="3"/>
      <c r="HG818" s="3"/>
      <c r="HH818" s="3"/>
      <c r="HI818" s="3"/>
      <c r="HJ818" s="3"/>
      <c r="HK818" s="3"/>
      <c r="HL818" s="3"/>
      <c r="HM818" s="3"/>
      <c r="HN818" s="3"/>
      <c r="HO818" s="3"/>
      <c r="HP818" s="3"/>
      <c r="HQ818" s="3"/>
      <c r="HR818" s="3"/>
      <c r="HS818" s="3"/>
      <c r="HT818" s="3"/>
    </row>
    <row r="819">
      <c r="A819" s="14"/>
      <c r="B819" s="3"/>
      <c r="C819" s="3"/>
      <c r="D819" s="3"/>
      <c r="E819" s="3"/>
      <c r="F819" s="5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7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FX819" s="3"/>
      <c r="FY819" s="3"/>
      <c r="FZ819" s="3"/>
      <c r="GA819" s="3"/>
      <c r="GB819" s="3"/>
      <c r="GC819" s="3"/>
      <c r="GD819" s="3"/>
      <c r="GE819" s="3"/>
      <c r="GF819" s="3"/>
      <c r="GG819" s="3"/>
      <c r="GH819" s="3"/>
      <c r="GI819" s="3"/>
      <c r="GJ819" s="3"/>
      <c r="GK819" s="3"/>
      <c r="GL819" s="3"/>
      <c r="GM819" s="3"/>
      <c r="GN819" s="3"/>
      <c r="GO819" s="3"/>
      <c r="GP819" s="3"/>
      <c r="GQ819" s="3"/>
      <c r="GR819" s="3"/>
      <c r="GS819" s="3"/>
      <c r="GT819" s="3"/>
      <c r="GU819" s="3"/>
      <c r="GV819" s="3"/>
      <c r="GW819" s="3"/>
      <c r="GX819" s="3"/>
      <c r="GY819" s="3"/>
      <c r="GZ819" s="3"/>
      <c r="HA819" s="3"/>
      <c r="HB819" s="3"/>
      <c r="HC819" s="3"/>
      <c r="HD819" s="3"/>
      <c r="HE819" s="3"/>
      <c r="HF819" s="3"/>
      <c r="HG819" s="3"/>
      <c r="HH819" s="3"/>
      <c r="HI819" s="3"/>
      <c r="HJ819" s="3"/>
      <c r="HK819" s="3"/>
      <c r="HL819" s="3"/>
      <c r="HM819" s="3"/>
      <c r="HN819" s="3"/>
      <c r="HO819" s="3"/>
      <c r="HP819" s="3"/>
      <c r="HQ819" s="3"/>
      <c r="HR819" s="3"/>
      <c r="HS819" s="3"/>
      <c r="HT819" s="3"/>
    </row>
    <row r="820">
      <c r="A820" s="14"/>
      <c r="B820" s="3"/>
      <c r="C820" s="3"/>
      <c r="D820" s="3"/>
      <c r="E820" s="3"/>
      <c r="F820" s="5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7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  <c r="FZ820" s="3"/>
      <c r="GA820" s="3"/>
      <c r="GB820" s="3"/>
      <c r="GC820" s="3"/>
      <c r="GD820" s="3"/>
      <c r="GE820" s="3"/>
      <c r="GF820" s="3"/>
      <c r="GG820" s="3"/>
      <c r="GH820" s="3"/>
      <c r="GI820" s="3"/>
      <c r="GJ820" s="3"/>
      <c r="GK820" s="3"/>
      <c r="GL820" s="3"/>
      <c r="GM820" s="3"/>
      <c r="GN820" s="3"/>
      <c r="GO820" s="3"/>
      <c r="GP820" s="3"/>
      <c r="GQ820" s="3"/>
      <c r="GR820" s="3"/>
      <c r="GS820" s="3"/>
      <c r="GT820" s="3"/>
      <c r="GU820" s="3"/>
      <c r="GV820" s="3"/>
      <c r="GW820" s="3"/>
      <c r="GX820" s="3"/>
      <c r="GY820" s="3"/>
      <c r="GZ820" s="3"/>
      <c r="HA820" s="3"/>
      <c r="HB820" s="3"/>
      <c r="HC820" s="3"/>
      <c r="HD820" s="3"/>
      <c r="HE820" s="3"/>
      <c r="HF820" s="3"/>
      <c r="HG820" s="3"/>
      <c r="HH820" s="3"/>
      <c r="HI820" s="3"/>
      <c r="HJ820" s="3"/>
      <c r="HK820" s="3"/>
      <c r="HL820" s="3"/>
      <c r="HM820" s="3"/>
      <c r="HN820" s="3"/>
      <c r="HO820" s="3"/>
      <c r="HP820" s="3"/>
      <c r="HQ820" s="3"/>
      <c r="HR820" s="3"/>
      <c r="HS820" s="3"/>
      <c r="HT820" s="3"/>
    </row>
    <row r="821">
      <c r="A821" s="14"/>
      <c r="B821" s="3"/>
      <c r="C821" s="3"/>
      <c r="D821" s="3"/>
      <c r="E821" s="3"/>
      <c r="F821" s="5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7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FX821" s="3"/>
      <c r="FY821" s="3"/>
      <c r="FZ821" s="3"/>
      <c r="GA821" s="3"/>
      <c r="GB821" s="3"/>
      <c r="GC821" s="3"/>
      <c r="GD821" s="3"/>
      <c r="GE821" s="3"/>
      <c r="GF821" s="3"/>
      <c r="GG821" s="3"/>
      <c r="GH821" s="3"/>
      <c r="GI821" s="3"/>
      <c r="GJ821" s="3"/>
      <c r="GK821" s="3"/>
      <c r="GL821" s="3"/>
      <c r="GM821" s="3"/>
      <c r="GN821" s="3"/>
      <c r="GO821" s="3"/>
      <c r="GP821" s="3"/>
      <c r="GQ821" s="3"/>
      <c r="GR821" s="3"/>
      <c r="GS821" s="3"/>
      <c r="GT821" s="3"/>
      <c r="GU821" s="3"/>
      <c r="GV821" s="3"/>
      <c r="GW821" s="3"/>
      <c r="GX821" s="3"/>
      <c r="GY821" s="3"/>
      <c r="GZ821" s="3"/>
      <c r="HA821" s="3"/>
      <c r="HB821" s="3"/>
      <c r="HC821" s="3"/>
      <c r="HD821" s="3"/>
      <c r="HE821" s="3"/>
      <c r="HF821" s="3"/>
      <c r="HG821" s="3"/>
      <c r="HH821" s="3"/>
      <c r="HI821" s="3"/>
      <c r="HJ821" s="3"/>
      <c r="HK821" s="3"/>
      <c r="HL821" s="3"/>
      <c r="HM821" s="3"/>
      <c r="HN821" s="3"/>
      <c r="HO821" s="3"/>
      <c r="HP821" s="3"/>
      <c r="HQ821" s="3"/>
      <c r="HR821" s="3"/>
      <c r="HS821" s="3"/>
      <c r="HT821" s="3"/>
    </row>
    <row r="822">
      <c r="A822" s="14"/>
      <c r="B822" s="3"/>
      <c r="C822" s="3"/>
      <c r="D822" s="3"/>
      <c r="E822" s="3"/>
      <c r="F822" s="5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7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FX822" s="3"/>
      <c r="FY822" s="3"/>
      <c r="FZ822" s="3"/>
      <c r="GA822" s="3"/>
      <c r="GB822" s="3"/>
      <c r="GC822" s="3"/>
      <c r="GD822" s="3"/>
      <c r="GE822" s="3"/>
      <c r="GF822" s="3"/>
      <c r="GG822" s="3"/>
      <c r="GH822" s="3"/>
      <c r="GI822" s="3"/>
      <c r="GJ822" s="3"/>
      <c r="GK822" s="3"/>
      <c r="GL822" s="3"/>
      <c r="GM822" s="3"/>
      <c r="GN822" s="3"/>
      <c r="GO822" s="3"/>
      <c r="GP822" s="3"/>
      <c r="GQ822" s="3"/>
      <c r="GR822" s="3"/>
      <c r="GS822" s="3"/>
      <c r="GT822" s="3"/>
      <c r="GU822" s="3"/>
      <c r="GV822" s="3"/>
      <c r="GW822" s="3"/>
      <c r="GX822" s="3"/>
      <c r="GY822" s="3"/>
      <c r="GZ822" s="3"/>
      <c r="HA822" s="3"/>
      <c r="HB822" s="3"/>
      <c r="HC822" s="3"/>
      <c r="HD822" s="3"/>
      <c r="HE822" s="3"/>
      <c r="HF822" s="3"/>
      <c r="HG822" s="3"/>
      <c r="HH822" s="3"/>
      <c r="HI822" s="3"/>
      <c r="HJ822" s="3"/>
      <c r="HK822" s="3"/>
      <c r="HL822" s="3"/>
      <c r="HM822" s="3"/>
      <c r="HN822" s="3"/>
      <c r="HO822" s="3"/>
      <c r="HP822" s="3"/>
      <c r="HQ822" s="3"/>
      <c r="HR822" s="3"/>
      <c r="HS822" s="3"/>
      <c r="HT822" s="3"/>
    </row>
    <row r="823">
      <c r="A823" s="14"/>
      <c r="B823" s="3"/>
      <c r="C823" s="3"/>
      <c r="D823" s="3"/>
      <c r="E823" s="3"/>
      <c r="F823" s="5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7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3"/>
      <c r="FW823" s="3"/>
      <c r="FX823" s="3"/>
      <c r="FY823" s="3"/>
      <c r="FZ823" s="3"/>
      <c r="GA823" s="3"/>
      <c r="GB823" s="3"/>
      <c r="GC823" s="3"/>
      <c r="GD823" s="3"/>
      <c r="GE823" s="3"/>
      <c r="GF823" s="3"/>
      <c r="GG823" s="3"/>
      <c r="GH823" s="3"/>
      <c r="GI823" s="3"/>
      <c r="GJ823" s="3"/>
      <c r="GK823" s="3"/>
      <c r="GL823" s="3"/>
      <c r="GM823" s="3"/>
      <c r="GN823" s="3"/>
      <c r="GO823" s="3"/>
      <c r="GP823" s="3"/>
      <c r="GQ823" s="3"/>
      <c r="GR823" s="3"/>
      <c r="GS823" s="3"/>
      <c r="GT823" s="3"/>
      <c r="GU823" s="3"/>
      <c r="GV823" s="3"/>
      <c r="GW823" s="3"/>
      <c r="GX823" s="3"/>
      <c r="GY823" s="3"/>
      <c r="GZ823" s="3"/>
      <c r="HA823" s="3"/>
      <c r="HB823" s="3"/>
      <c r="HC823" s="3"/>
      <c r="HD823" s="3"/>
      <c r="HE823" s="3"/>
      <c r="HF823" s="3"/>
      <c r="HG823" s="3"/>
      <c r="HH823" s="3"/>
      <c r="HI823" s="3"/>
      <c r="HJ823" s="3"/>
      <c r="HK823" s="3"/>
      <c r="HL823" s="3"/>
      <c r="HM823" s="3"/>
      <c r="HN823" s="3"/>
      <c r="HO823" s="3"/>
      <c r="HP823" s="3"/>
      <c r="HQ823" s="3"/>
      <c r="HR823" s="3"/>
      <c r="HS823" s="3"/>
      <c r="HT823" s="3"/>
    </row>
    <row r="824">
      <c r="A824" s="14"/>
      <c r="B824" s="3"/>
      <c r="C824" s="3"/>
      <c r="D824" s="3"/>
      <c r="E824" s="3"/>
      <c r="F824" s="5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7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FX824" s="3"/>
      <c r="FY824" s="3"/>
      <c r="FZ824" s="3"/>
      <c r="GA824" s="3"/>
      <c r="GB824" s="3"/>
      <c r="GC824" s="3"/>
      <c r="GD824" s="3"/>
      <c r="GE824" s="3"/>
      <c r="GF824" s="3"/>
      <c r="GG824" s="3"/>
      <c r="GH824" s="3"/>
      <c r="GI824" s="3"/>
      <c r="GJ824" s="3"/>
      <c r="GK824" s="3"/>
      <c r="GL824" s="3"/>
      <c r="GM824" s="3"/>
      <c r="GN824" s="3"/>
      <c r="GO824" s="3"/>
      <c r="GP824" s="3"/>
      <c r="GQ824" s="3"/>
      <c r="GR824" s="3"/>
      <c r="GS824" s="3"/>
      <c r="GT824" s="3"/>
      <c r="GU824" s="3"/>
      <c r="GV824" s="3"/>
      <c r="GW824" s="3"/>
      <c r="GX824" s="3"/>
      <c r="GY824" s="3"/>
      <c r="GZ824" s="3"/>
      <c r="HA824" s="3"/>
      <c r="HB824" s="3"/>
      <c r="HC824" s="3"/>
      <c r="HD824" s="3"/>
      <c r="HE824" s="3"/>
      <c r="HF824" s="3"/>
      <c r="HG824" s="3"/>
      <c r="HH824" s="3"/>
      <c r="HI824" s="3"/>
      <c r="HJ824" s="3"/>
      <c r="HK824" s="3"/>
      <c r="HL824" s="3"/>
      <c r="HM824" s="3"/>
      <c r="HN824" s="3"/>
      <c r="HO824" s="3"/>
      <c r="HP824" s="3"/>
      <c r="HQ824" s="3"/>
      <c r="HR824" s="3"/>
      <c r="HS824" s="3"/>
      <c r="HT824" s="3"/>
    </row>
    <row r="825">
      <c r="A825" s="14"/>
      <c r="B825" s="3"/>
      <c r="C825" s="3"/>
      <c r="D825" s="3"/>
      <c r="E825" s="3"/>
      <c r="F825" s="5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7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  <c r="FZ825" s="3"/>
      <c r="GA825" s="3"/>
      <c r="GB825" s="3"/>
      <c r="GC825" s="3"/>
      <c r="GD825" s="3"/>
      <c r="GE825" s="3"/>
      <c r="GF825" s="3"/>
      <c r="GG825" s="3"/>
      <c r="GH825" s="3"/>
      <c r="GI825" s="3"/>
      <c r="GJ825" s="3"/>
      <c r="GK825" s="3"/>
      <c r="GL825" s="3"/>
      <c r="GM825" s="3"/>
      <c r="GN825" s="3"/>
      <c r="GO825" s="3"/>
      <c r="GP825" s="3"/>
      <c r="GQ825" s="3"/>
      <c r="GR825" s="3"/>
      <c r="GS825" s="3"/>
      <c r="GT825" s="3"/>
      <c r="GU825" s="3"/>
      <c r="GV825" s="3"/>
      <c r="GW825" s="3"/>
      <c r="GX825" s="3"/>
      <c r="GY825" s="3"/>
      <c r="GZ825" s="3"/>
      <c r="HA825" s="3"/>
      <c r="HB825" s="3"/>
      <c r="HC825" s="3"/>
      <c r="HD825" s="3"/>
      <c r="HE825" s="3"/>
      <c r="HF825" s="3"/>
      <c r="HG825" s="3"/>
      <c r="HH825" s="3"/>
      <c r="HI825" s="3"/>
      <c r="HJ825" s="3"/>
      <c r="HK825" s="3"/>
      <c r="HL825" s="3"/>
      <c r="HM825" s="3"/>
      <c r="HN825" s="3"/>
      <c r="HO825" s="3"/>
      <c r="HP825" s="3"/>
      <c r="HQ825" s="3"/>
      <c r="HR825" s="3"/>
      <c r="HS825" s="3"/>
      <c r="HT825" s="3"/>
    </row>
    <row r="826">
      <c r="A826" s="14"/>
      <c r="B826" s="3"/>
      <c r="C826" s="3"/>
      <c r="D826" s="3"/>
      <c r="E826" s="3"/>
      <c r="F826" s="5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7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D826" s="3"/>
      <c r="GE826" s="3"/>
      <c r="GF826" s="3"/>
      <c r="GG826" s="3"/>
      <c r="GH826" s="3"/>
      <c r="GI826" s="3"/>
      <c r="GJ826" s="3"/>
      <c r="GK826" s="3"/>
      <c r="GL826" s="3"/>
      <c r="GM826" s="3"/>
      <c r="GN826" s="3"/>
      <c r="GO826" s="3"/>
      <c r="GP826" s="3"/>
      <c r="GQ826" s="3"/>
      <c r="GR826" s="3"/>
      <c r="GS826" s="3"/>
      <c r="GT826" s="3"/>
      <c r="GU826" s="3"/>
      <c r="GV826" s="3"/>
      <c r="GW826" s="3"/>
      <c r="GX826" s="3"/>
      <c r="GY826" s="3"/>
      <c r="GZ826" s="3"/>
      <c r="HA826" s="3"/>
      <c r="HB826" s="3"/>
      <c r="HC826" s="3"/>
      <c r="HD826" s="3"/>
      <c r="HE826" s="3"/>
      <c r="HF826" s="3"/>
      <c r="HG826" s="3"/>
      <c r="HH826" s="3"/>
      <c r="HI826" s="3"/>
      <c r="HJ826" s="3"/>
      <c r="HK826" s="3"/>
      <c r="HL826" s="3"/>
      <c r="HM826" s="3"/>
      <c r="HN826" s="3"/>
      <c r="HO826" s="3"/>
      <c r="HP826" s="3"/>
      <c r="HQ826" s="3"/>
      <c r="HR826" s="3"/>
      <c r="HS826" s="3"/>
      <c r="HT826" s="3"/>
    </row>
    <row r="827">
      <c r="A827" s="14"/>
      <c r="B827" s="3"/>
      <c r="C827" s="3"/>
      <c r="D827" s="3"/>
      <c r="E827" s="3"/>
      <c r="F827" s="5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7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FX827" s="3"/>
      <c r="FY827" s="3"/>
      <c r="FZ827" s="3"/>
      <c r="GA827" s="3"/>
      <c r="GB827" s="3"/>
      <c r="GC827" s="3"/>
      <c r="GD827" s="3"/>
      <c r="GE827" s="3"/>
      <c r="GF827" s="3"/>
      <c r="GG827" s="3"/>
      <c r="GH827" s="3"/>
      <c r="GI827" s="3"/>
      <c r="GJ827" s="3"/>
      <c r="GK827" s="3"/>
      <c r="GL827" s="3"/>
      <c r="GM827" s="3"/>
      <c r="GN827" s="3"/>
      <c r="GO827" s="3"/>
      <c r="GP827" s="3"/>
      <c r="GQ827" s="3"/>
      <c r="GR827" s="3"/>
      <c r="GS827" s="3"/>
      <c r="GT827" s="3"/>
      <c r="GU827" s="3"/>
      <c r="GV827" s="3"/>
      <c r="GW827" s="3"/>
      <c r="GX827" s="3"/>
      <c r="GY827" s="3"/>
      <c r="GZ827" s="3"/>
      <c r="HA827" s="3"/>
      <c r="HB827" s="3"/>
      <c r="HC827" s="3"/>
      <c r="HD827" s="3"/>
      <c r="HE827" s="3"/>
      <c r="HF827" s="3"/>
      <c r="HG827" s="3"/>
      <c r="HH827" s="3"/>
      <c r="HI827" s="3"/>
      <c r="HJ827" s="3"/>
      <c r="HK827" s="3"/>
      <c r="HL827" s="3"/>
      <c r="HM827" s="3"/>
      <c r="HN827" s="3"/>
      <c r="HO827" s="3"/>
      <c r="HP827" s="3"/>
      <c r="HQ827" s="3"/>
      <c r="HR827" s="3"/>
      <c r="HS827" s="3"/>
      <c r="HT827" s="3"/>
    </row>
    <row r="828">
      <c r="A828" s="14"/>
      <c r="B828" s="3"/>
      <c r="C828" s="3"/>
      <c r="D828" s="3"/>
      <c r="E828" s="3"/>
      <c r="F828" s="5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7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FX828" s="3"/>
      <c r="FY828" s="3"/>
      <c r="FZ828" s="3"/>
      <c r="GA828" s="3"/>
      <c r="GB828" s="3"/>
      <c r="GC828" s="3"/>
      <c r="GD828" s="3"/>
      <c r="GE828" s="3"/>
      <c r="GF828" s="3"/>
      <c r="GG828" s="3"/>
      <c r="GH828" s="3"/>
      <c r="GI828" s="3"/>
      <c r="GJ828" s="3"/>
      <c r="GK828" s="3"/>
      <c r="GL828" s="3"/>
      <c r="GM828" s="3"/>
      <c r="GN828" s="3"/>
      <c r="GO828" s="3"/>
      <c r="GP828" s="3"/>
      <c r="GQ828" s="3"/>
      <c r="GR828" s="3"/>
      <c r="GS828" s="3"/>
      <c r="GT828" s="3"/>
      <c r="GU828" s="3"/>
      <c r="GV828" s="3"/>
      <c r="GW828" s="3"/>
      <c r="GX828" s="3"/>
      <c r="GY828" s="3"/>
      <c r="GZ828" s="3"/>
      <c r="HA828" s="3"/>
      <c r="HB828" s="3"/>
      <c r="HC828" s="3"/>
      <c r="HD828" s="3"/>
      <c r="HE828" s="3"/>
      <c r="HF828" s="3"/>
      <c r="HG828" s="3"/>
      <c r="HH828" s="3"/>
      <c r="HI828" s="3"/>
      <c r="HJ828" s="3"/>
      <c r="HK828" s="3"/>
      <c r="HL828" s="3"/>
      <c r="HM828" s="3"/>
      <c r="HN828" s="3"/>
      <c r="HO828" s="3"/>
      <c r="HP828" s="3"/>
      <c r="HQ828" s="3"/>
      <c r="HR828" s="3"/>
      <c r="HS828" s="3"/>
      <c r="HT828" s="3"/>
    </row>
    <row r="829">
      <c r="A829" s="14"/>
      <c r="B829" s="3"/>
      <c r="C829" s="3"/>
      <c r="D829" s="3"/>
      <c r="E829" s="3"/>
      <c r="F829" s="5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7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FX829" s="3"/>
      <c r="FY829" s="3"/>
      <c r="FZ829" s="3"/>
      <c r="GA829" s="3"/>
      <c r="GB829" s="3"/>
      <c r="GC829" s="3"/>
      <c r="GD829" s="3"/>
      <c r="GE829" s="3"/>
      <c r="GF829" s="3"/>
      <c r="GG829" s="3"/>
      <c r="GH829" s="3"/>
      <c r="GI829" s="3"/>
      <c r="GJ829" s="3"/>
      <c r="GK829" s="3"/>
      <c r="GL829" s="3"/>
      <c r="GM829" s="3"/>
      <c r="GN829" s="3"/>
      <c r="GO829" s="3"/>
      <c r="GP829" s="3"/>
      <c r="GQ829" s="3"/>
      <c r="GR829" s="3"/>
      <c r="GS829" s="3"/>
      <c r="GT829" s="3"/>
      <c r="GU829" s="3"/>
      <c r="GV829" s="3"/>
      <c r="GW829" s="3"/>
      <c r="GX829" s="3"/>
      <c r="GY829" s="3"/>
      <c r="GZ829" s="3"/>
      <c r="HA829" s="3"/>
      <c r="HB829" s="3"/>
      <c r="HC829" s="3"/>
      <c r="HD829" s="3"/>
      <c r="HE829" s="3"/>
      <c r="HF829" s="3"/>
      <c r="HG829" s="3"/>
      <c r="HH829" s="3"/>
      <c r="HI829" s="3"/>
      <c r="HJ829" s="3"/>
      <c r="HK829" s="3"/>
      <c r="HL829" s="3"/>
      <c r="HM829" s="3"/>
      <c r="HN829" s="3"/>
      <c r="HO829" s="3"/>
      <c r="HP829" s="3"/>
      <c r="HQ829" s="3"/>
      <c r="HR829" s="3"/>
      <c r="HS829" s="3"/>
      <c r="HT829" s="3"/>
    </row>
    <row r="830">
      <c r="A830" s="14"/>
      <c r="B830" s="3"/>
      <c r="C830" s="3"/>
      <c r="D830" s="3"/>
      <c r="E830" s="3"/>
      <c r="F830" s="5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7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FX830" s="3"/>
      <c r="FY830" s="3"/>
      <c r="FZ830" s="3"/>
      <c r="GA830" s="3"/>
      <c r="GB830" s="3"/>
      <c r="GC830" s="3"/>
      <c r="GD830" s="3"/>
      <c r="GE830" s="3"/>
      <c r="GF830" s="3"/>
      <c r="GG830" s="3"/>
      <c r="GH830" s="3"/>
      <c r="GI830" s="3"/>
      <c r="GJ830" s="3"/>
      <c r="GK830" s="3"/>
      <c r="GL830" s="3"/>
      <c r="GM830" s="3"/>
      <c r="GN830" s="3"/>
      <c r="GO830" s="3"/>
      <c r="GP830" s="3"/>
      <c r="GQ830" s="3"/>
      <c r="GR830" s="3"/>
      <c r="GS830" s="3"/>
      <c r="GT830" s="3"/>
      <c r="GU830" s="3"/>
      <c r="GV830" s="3"/>
      <c r="GW830" s="3"/>
      <c r="GX830" s="3"/>
      <c r="GY830" s="3"/>
      <c r="GZ830" s="3"/>
      <c r="HA830" s="3"/>
      <c r="HB830" s="3"/>
      <c r="HC830" s="3"/>
      <c r="HD830" s="3"/>
      <c r="HE830" s="3"/>
      <c r="HF830" s="3"/>
      <c r="HG830" s="3"/>
      <c r="HH830" s="3"/>
      <c r="HI830" s="3"/>
      <c r="HJ830" s="3"/>
      <c r="HK830" s="3"/>
      <c r="HL830" s="3"/>
      <c r="HM830" s="3"/>
      <c r="HN830" s="3"/>
      <c r="HO830" s="3"/>
      <c r="HP830" s="3"/>
      <c r="HQ830" s="3"/>
      <c r="HR830" s="3"/>
      <c r="HS830" s="3"/>
      <c r="HT830" s="3"/>
    </row>
    <row r="831">
      <c r="A831" s="14"/>
      <c r="B831" s="3"/>
      <c r="C831" s="3"/>
      <c r="D831" s="3"/>
      <c r="E831" s="3"/>
      <c r="F831" s="5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7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3"/>
      <c r="FW831" s="3"/>
      <c r="FX831" s="3"/>
      <c r="FY831" s="3"/>
      <c r="FZ831" s="3"/>
      <c r="GA831" s="3"/>
      <c r="GB831" s="3"/>
      <c r="GC831" s="3"/>
      <c r="GD831" s="3"/>
      <c r="GE831" s="3"/>
      <c r="GF831" s="3"/>
      <c r="GG831" s="3"/>
      <c r="GH831" s="3"/>
      <c r="GI831" s="3"/>
      <c r="GJ831" s="3"/>
      <c r="GK831" s="3"/>
      <c r="GL831" s="3"/>
      <c r="GM831" s="3"/>
      <c r="GN831" s="3"/>
      <c r="GO831" s="3"/>
      <c r="GP831" s="3"/>
      <c r="GQ831" s="3"/>
      <c r="GR831" s="3"/>
      <c r="GS831" s="3"/>
      <c r="GT831" s="3"/>
      <c r="GU831" s="3"/>
      <c r="GV831" s="3"/>
      <c r="GW831" s="3"/>
      <c r="GX831" s="3"/>
      <c r="GY831" s="3"/>
      <c r="GZ831" s="3"/>
      <c r="HA831" s="3"/>
      <c r="HB831" s="3"/>
      <c r="HC831" s="3"/>
      <c r="HD831" s="3"/>
      <c r="HE831" s="3"/>
      <c r="HF831" s="3"/>
      <c r="HG831" s="3"/>
      <c r="HH831" s="3"/>
      <c r="HI831" s="3"/>
      <c r="HJ831" s="3"/>
      <c r="HK831" s="3"/>
      <c r="HL831" s="3"/>
      <c r="HM831" s="3"/>
      <c r="HN831" s="3"/>
      <c r="HO831" s="3"/>
      <c r="HP831" s="3"/>
      <c r="HQ831" s="3"/>
      <c r="HR831" s="3"/>
      <c r="HS831" s="3"/>
      <c r="HT831" s="3"/>
    </row>
    <row r="832">
      <c r="A832" s="14"/>
      <c r="B832" s="3"/>
      <c r="C832" s="3"/>
      <c r="D832" s="3"/>
      <c r="E832" s="3"/>
      <c r="F832" s="5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7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3"/>
      <c r="FW832" s="3"/>
      <c r="FX832" s="3"/>
      <c r="FY832" s="3"/>
      <c r="FZ832" s="3"/>
      <c r="GA832" s="3"/>
      <c r="GB832" s="3"/>
      <c r="GC832" s="3"/>
      <c r="GD832" s="3"/>
      <c r="GE832" s="3"/>
      <c r="GF832" s="3"/>
      <c r="GG832" s="3"/>
      <c r="GH832" s="3"/>
      <c r="GI832" s="3"/>
      <c r="GJ832" s="3"/>
      <c r="GK832" s="3"/>
      <c r="GL832" s="3"/>
      <c r="GM832" s="3"/>
      <c r="GN832" s="3"/>
      <c r="GO832" s="3"/>
      <c r="GP832" s="3"/>
      <c r="GQ832" s="3"/>
      <c r="GR832" s="3"/>
      <c r="GS832" s="3"/>
      <c r="GT832" s="3"/>
      <c r="GU832" s="3"/>
      <c r="GV832" s="3"/>
      <c r="GW832" s="3"/>
      <c r="GX832" s="3"/>
      <c r="GY832" s="3"/>
      <c r="GZ832" s="3"/>
      <c r="HA832" s="3"/>
      <c r="HB832" s="3"/>
      <c r="HC832" s="3"/>
      <c r="HD832" s="3"/>
      <c r="HE832" s="3"/>
      <c r="HF832" s="3"/>
      <c r="HG832" s="3"/>
      <c r="HH832" s="3"/>
      <c r="HI832" s="3"/>
      <c r="HJ832" s="3"/>
      <c r="HK832" s="3"/>
      <c r="HL832" s="3"/>
      <c r="HM832" s="3"/>
      <c r="HN832" s="3"/>
      <c r="HO832" s="3"/>
      <c r="HP832" s="3"/>
      <c r="HQ832" s="3"/>
      <c r="HR832" s="3"/>
      <c r="HS832" s="3"/>
      <c r="HT832" s="3"/>
    </row>
    <row r="833">
      <c r="A833" s="14"/>
      <c r="B833" s="3"/>
      <c r="C833" s="3"/>
      <c r="D833" s="3"/>
      <c r="E833" s="3"/>
      <c r="F833" s="5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7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  <c r="FZ833" s="3"/>
      <c r="GA833" s="3"/>
      <c r="GB833" s="3"/>
      <c r="GC833" s="3"/>
      <c r="GD833" s="3"/>
      <c r="GE833" s="3"/>
      <c r="GF833" s="3"/>
      <c r="GG833" s="3"/>
      <c r="GH833" s="3"/>
      <c r="GI833" s="3"/>
      <c r="GJ833" s="3"/>
      <c r="GK833" s="3"/>
      <c r="GL833" s="3"/>
      <c r="GM833" s="3"/>
      <c r="GN833" s="3"/>
      <c r="GO833" s="3"/>
      <c r="GP833" s="3"/>
      <c r="GQ833" s="3"/>
      <c r="GR833" s="3"/>
      <c r="GS833" s="3"/>
      <c r="GT833" s="3"/>
      <c r="GU833" s="3"/>
      <c r="GV833" s="3"/>
      <c r="GW833" s="3"/>
      <c r="GX833" s="3"/>
      <c r="GY833" s="3"/>
      <c r="GZ833" s="3"/>
      <c r="HA833" s="3"/>
      <c r="HB833" s="3"/>
      <c r="HC833" s="3"/>
      <c r="HD833" s="3"/>
      <c r="HE833" s="3"/>
      <c r="HF833" s="3"/>
      <c r="HG833" s="3"/>
      <c r="HH833" s="3"/>
      <c r="HI833" s="3"/>
      <c r="HJ833" s="3"/>
      <c r="HK833" s="3"/>
      <c r="HL833" s="3"/>
      <c r="HM833" s="3"/>
      <c r="HN833" s="3"/>
      <c r="HO833" s="3"/>
      <c r="HP833" s="3"/>
      <c r="HQ833" s="3"/>
      <c r="HR833" s="3"/>
      <c r="HS833" s="3"/>
      <c r="HT833" s="3"/>
    </row>
    <row r="834">
      <c r="A834" s="14"/>
      <c r="B834" s="3"/>
      <c r="C834" s="3"/>
      <c r="D834" s="3"/>
      <c r="E834" s="3"/>
      <c r="F834" s="5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7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D834" s="3"/>
      <c r="GE834" s="3"/>
      <c r="GF834" s="3"/>
      <c r="GG834" s="3"/>
      <c r="GH834" s="3"/>
      <c r="GI834" s="3"/>
      <c r="GJ834" s="3"/>
      <c r="GK834" s="3"/>
      <c r="GL834" s="3"/>
      <c r="GM834" s="3"/>
      <c r="GN834" s="3"/>
      <c r="GO834" s="3"/>
      <c r="GP834" s="3"/>
      <c r="GQ834" s="3"/>
      <c r="GR834" s="3"/>
      <c r="GS834" s="3"/>
      <c r="GT834" s="3"/>
      <c r="GU834" s="3"/>
      <c r="GV834" s="3"/>
      <c r="GW834" s="3"/>
      <c r="GX834" s="3"/>
      <c r="GY834" s="3"/>
      <c r="GZ834" s="3"/>
      <c r="HA834" s="3"/>
      <c r="HB834" s="3"/>
      <c r="HC834" s="3"/>
      <c r="HD834" s="3"/>
      <c r="HE834" s="3"/>
      <c r="HF834" s="3"/>
      <c r="HG834" s="3"/>
      <c r="HH834" s="3"/>
      <c r="HI834" s="3"/>
      <c r="HJ834" s="3"/>
      <c r="HK834" s="3"/>
      <c r="HL834" s="3"/>
      <c r="HM834" s="3"/>
      <c r="HN834" s="3"/>
      <c r="HO834" s="3"/>
      <c r="HP834" s="3"/>
      <c r="HQ834" s="3"/>
      <c r="HR834" s="3"/>
      <c r="HS834" s="3"/>
      <c r="HT834" s="3"/>
    </row>
    <row r="835">
      <c r="A835" s="14"/>
      <c r="B835" s="3"/>
      <c r="C835" s="3"/>
      <c r="D835" s="3"/>
      <c r="E835" s="3"/>
      <c r="F835" s="5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7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D835" s="3"/>
      <c r="GE835" s="3"/>
      <c r="GF835" s="3"/>
      <c r="GG835" s="3"/>
      <c r="GH835" s="3"/>
      <c r="GI835" s="3"/>
      <c r="GJ835" s="3"/>
      <c r="GK835" s="3"/>
      <c r="GL835" s="3"/>
      <c r="GM835" s="3"/>
      <c r="GN835" s="3"/>
      <c r="GO835" s="3"/>
      <c r="GP835" s="3"/>
      <c r="GQ835" s="3"/>
      <c r="GR835" s="3"/>
      <c r="GS835" s="3"/>
      <c r="GT835" s="3"/>
      <c r="GU835" s="3"/>
      <c r="GV835" s="3"/>
      <c r="GW835" s="3"/>
      <c r="GX835" s="3"/>
      <c r="GY835" s="3"/>
      <c r="GZ835" s="3"/>
      <c r="HA835" s="3"/>
      <c r="HB835" s="3"/>
      <c r="HC835" s="3"/>
      <c r="HD835" s="3"/>
      <c r="HE835" s="3"/>
      <c r="HF835" s="3"/>
      <c r="HG835" s="3"/>
      <c r="HH835" s="3"/>
      <c r="HI835" s="3"/>
      <c r="HJ835" s="3"/>
      <c r="HK835" s="3"/>
      <c r="HL835" s="3"/>
      <c r="HM835" s="3"/>
      <c r="HN835" s="3"/>
      <c r="HO835" s="3"/>
      <c r="HP835" s="3"/>
      <c r="HQ835" s="3"/>
      <c r="HR835" s="3"/>
      <c r="HS835" s="3"/>
      <c r="HT835" s="3"/>
    </row>
    <row r="836">
      <c r="A836" s="14"/>
      <c r="B836" s="3"/>
      <c r="C836" s="3"/>
      <c r="D836" s="3"/>
      <c r="E836" s="3"/>
      <c r="F836" s="5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7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FX836" s="3"/>
      <c r="FY836" s="3"/>
      <c r="FZ836" s="3"/>
      <c r="GA836" s="3"/>
      <c r="GB836" s="3"/>
      <c r="GC836" s="3"/>
      <c r="GD836" s="3"/>
      <c r="GE836" s="3"/>
      <c r="GF836" s="3"/>
      <c r="GG836" s="3"/>
      <c r="GH836" s="3"/>
      <c r="GI836" s="3"/>
      <c r="GJ836" s="3"/>
      <c r="GK836" s="3"/>
      <c r="GL836" s="3"/>
      <c r="GM836" s="3"/>
      <c r="GN836" s="3"/>
      <c r="GO836" s="3"/>
      <c r="GP836" s="3"/>
      <c r="GQ836" s="3"/>
      <c r="GR836" s="3"/>
      <c r="GS836" s="3"/>
      <c r="GT836" s="3"/>
      <c r="GU836" s="3"/>
      <c r="GV836" s="3"/>
      <c r="GW836" s="3"/>
      <c r="GX836" s="3"/>
      <c r="GY836" s="3"/>
      <c r="GZ836" s="3"/>
      <c r="HA836" s="3"/>
      <c r="HB836" s="3"/>
      <c r="HC836" s="3"/>
      <c r="HD836" s="3"/>
      <c r="HE836" s="3"/>
      <c r="HF836" s="3"/>
      <c r="HG836" s="3"/>
      <c r="HH836" s="3"/>
      <c r="HI836" s="3"/>
      <c r="HJ836" s="3"/>
      <c r="HK836" s="3"/>
      <c r="HL836" s="3"/>
      <c r="HM836" s="3"/>
      <c r="HN836" s="3"/>
      <c r="HO836" s="3"/>
      <c r="HP836" s="3"/>
      <c r="HQ836" s="3"/>
      <c r="HR836" s="3"/>
      <c r="HS836" s="3"/>
      <c r="HT836" s="3"/>
    </row>
    <row r="837">
      <c r="A837" s="14"/>
      <c r="B837" s="3"/>
      <c r="C837" s="3"/>
      <c r="D837" s="3"/>
      <c r="E837" s="3"/>
      <c r="F837" s="5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7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D837" s="3"/>
      <c r="GE837" s="3"/>
      <c r="GF837" s="3"/>
      <c r="GG837" s="3"/>
      <c r="GH837" s="3"/>
      <c r="GI837" s="3"/>
      <c r="GJ837" s="3"/>
      <c r="GK837" s="3"/>
      <c r="GL837" s="3"/>
      <c r="GM837" s="3"/>
      <c r="GN837" s="3"/>
      <c r="GO837" s="3"/>
      <c r="GP837" s="3"/>
      <c r="GQ837" s="3"/>
      <c r="GR837" s="3"/>
      <c r="GS837" s="3"/>
      <c r="GT837" s="3"/>
      <c r="GU837" s="3"/>
      <c r="GV837" s="3"/>
      <c r="GW837" s="3"/>
      <c r="GX837" s="3"/>
      <c r="GY837" s="3"/>
      <c r="GZ837" s="3"/>
      <c r="HA837" s="3"/>
      <c r="HB837" s="3"/>
      <c r="HC837" s="3"/>
      <c r="HD837" s="3"/>
      <c r="HE837" s="3"/>
      <c r="HF837" s="3"/>
      <c r="HG837" s="3"/>
      <c r="HH837" s="3"/>
      <c r="HI837" s="3"/>
      <c r="HJ837" s="3"/>
      <c r="HK837" s="3"/>
      <c r="HL837" s="3"/>
      <c r="HM837" s="3"/>
      <c r="HN837" s="3"/>
      <c r="HO837" s="3"/>
      <c r="HP837" s="3"/>
      <c r="HQ837" s="3"/>
      <c r="HR837" s="3"/>
      <c r="HS837" s="3"/>
      <c r="HT837" s="3"/>
    </row>
    <row r="838">
      <c r="A838" s="14"/>
      <c r="B838" s="3"/>
      <c r="C838" s="3"/>
      <c r="D838" s="3"/>
      <c r="E838" s="3"/>
      <c r="F838" s="5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7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  <c r="FZ838" s="3"/>
      <c r="GA838" s="3"/>
      <c r="GB838" s="3"/>
      <c r="GC838" s="3"/>
      <c r="GD838" s="3"/>
      <c r="GE838" s="3"/>
      <c r="GF838" s="3"/>
      <c r="GG838" s="3"/>
      <c r="GH838" s="3"/>
      <c r="GI838" s="3"/>
      <c r="GJ838" s="3"/>
      <c r="GK838" s="3"/>
      <c r="GL838" s="3"/>
      <c r="GM838" s="3"/>
      <c r="GN838" s="3"/>
      <c r="GO838" s="3"/>
      <c r="GP838" s="3"/>
      <c r="GQ838" s="3"/>
      <c r="GR838" s="3"/>
      <c r="GS838" s="3"/>
      <c r="GT838" s="3"/>
      <c r="GU838" s="3"/>
      <c r="GV838" s="3"/>
      <c r="GW838" s="3"/>
      <c r="GX838" s="3"/>
      <c r="GY838" s="3"/>
      <c r="GZ838" s="3"/>
      <c r="HA838" s="3"/>
      <c r="HB838" s="3"/>
      <c r="HC838" s="3"/>
      <c r="HD838" s="3"/>
      <c r="HE838" s="3"/>
      <c r="HF838" s="3"/>
      <c r="HG838" s="3"/>
      <c r="HH838" s="3"/>
      <c r="HI838" s="3"/>
      <c r="HJ838" s="3"/>
      <c r="HK838" s="3"/>
      <c r="HL838" s="3"/>
      <c r="HM838" s="3"/>
      <c r="HN838" s="3"/>
      <c r="HO838" s="3"/>
      <c r="HP838" s="3"/>
      <c r="HQ838" s="3"/>
      <c r="HR838" s="3"/>
      <c r="HS838" s="3"/>
      <c r="HT838" s="3"/>
    </row>
    <row r="839">
      <c r="A839" s="14"/>
      <c r="B839" s="3"/>
      <c r="C839" s="3"/>
      <c r="D839" s="3"/>
      <c r="E839" s="3"/>
      <c r="F839" s="5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7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3"/>
      <c r="FW839" s="3"/>
      <c r="FX839" s="3"/>
      <c r="FY839" s="3"/>
      <c r="FZ839" s="3"/>
      <c r="GA839" s="3"/>
      <c r="GB839" s="3"/>
      <c r="GC839" s="3"/>
      <c r="GD839" s="3"/>
      <c r="GE839" s="3"/>
      <c r="GF839" s="3"/>
      <c r="GG839" s="3"/>
      <c r="GH839" s="3"/>
      <c r="GI839" s="3"/>
      <c r="GJ839" s="3"/>
      <c r="GK839" s="3"/>
      <c r="GL839" s="3"/>
      <c r="GM839" s="3"/>
      <c r="GN839" s="3"/>
      <c r="GO839" s="3"/>
      <c r="GP839" s="3"/>
      <c r="GQ839" s="3"/>
      <c r="GR839" s="3"/>
      <c r="GS839" s="3"/>
      <c r="GT839" s="3"/>
      <c r="GU839" s="3"/>
      <c r="GV839" s="3"/>
      <c r="GW839" s="3"/>
      <c r="GX839" s="3"/>
      <c r="GY839" s="3"/>
      <c r="GZ839" s="3"/>
      <c r="HA839" s="3"/>
      <c r="HB839" s="3"/>
      <c r="HC839" s="3"/>
      <c r="HD839" s="3"/>
      <c r="HE839" s="3"/>
      <c r="HF839" s="3"/>
      <c r="HG839" s="3"/>
      <c r="HH839" s="3"/>
      <c r="HI839" s="3"/>
      <c r="HJ839" s="3"/>
      <c r="HK839" s="3"/>
      <c r="HL839" s="3"/>
      <c r="HM839" s="3"/>
      <c r="HN839" s="3"/>
      <c r="HO839" s="3"/>
      <c r="HP839" s="3"/>
      <c r="HQ839" s="3"/>
      <c r="HR839" s="3"/>
      <c r="HS839" s="3"/>
      <c r="HT839" s="3"/>
    </row>
    <row r="840">
      <c r="A840" s="14"/>
      <c r="B840" s="3"/>
      <c r="C840" s="3"/>
      <c r="D840" s="3"/>
      <c r="E840" s="3"/>
      <c r="F840" s="5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7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  <c r="FZ840" s="3"/>
      <c r="GA840" s="3"/>
      <c r="GB840" s="3"/>
      <c r="GC840" s="3"/>
      <c r="GD840" s="3"/>
      <c r="GE840" s="3"/>
      <c r="GF840" s="3"/>
      <c r="GG840" s="3"/>
      <c r="GH840" s="3"/>
      <c r="GI840" s="3"/>
      <c r="GJ840" s="3"/>
      <c r="GK840" s="3"/>
      <c r="GL840" s="3"/>
      <c r="GM840" s="3"/>
      <c r="GN840" s="3"/>
      <c r="GO840" s="3"/>
      <c r="GP840" s="3"/>
      <c r="GQ840" s="3"/>
      <c r="GR840" s="3"/>
      <c r="GS840" s="3"/>
      <c r="GT840" s="3"/>
      <c r="GU840" s="3"/>
      <c r="GV840" s="3"/>
      <c r="GW840" s="3"/>
      <c r="GX840" s="3"/>
      <c r="GY840" s="3"/>
      <c r="GZ840" s="3"/>
      <c r="HA840" s="3"/>
      <c r="HB840" s="3"/>
      <c r="HC840" s="3"/>
      <c r="HD840" s="3"/>
      <c r="HE840" s="3"/>
      <c r="HF840" s="3"/>
      <c r="HG840" s="3"/>
      <c r="HH840" s="3"/>
      <c r="HI840" s="3"/>
      <c r="HJ840" s="3"/>
      <c r="HK840" s="3"/>
      <c r="HL840" s="3"/>
      <c r="HM840" s="3"/>
      <c r="HN840" s="3"/>
      <c r="HO840" s="3"/>
      <c r="HP840" s="3"/>
      <c r="HQ840" s="3"/>
      <c r="HR840" s="3"/>
      <c r="HS840" s="3"/>
      <c r="HT840" s="3"/>
    </row>
    <row r="841">
      <c r="A841" s="14"/>
      <c r="B841" s="3"/>
      <c r="C841" s="3"/>
      <c r="D841" s="3"/>
      <c r="E841" s="3"/>
      <c r="F841" s="5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7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3"/>
      <c r="GG841" s="3"/>
      <c r="GH841" s="3"/>
      <c r="GI841" s="3"/>
      <c r="GJ841" s="3"/>
      <c r="GK841" s="3"/>
      <c r="GL841" s="3"/>
      <c r="GM841" s="3"/>
      <c r="GN841" s="3"/>
      <c r="GO841" s="3"/>
      <c r="GP841" s="3"/>
      <c r="GQ841" s="3"/>
      <c r="GR841" s="3"/>
      <c r="GS841" s="3"/>
      <c r="GT841" s="3"/>
      <c r="GU841" s="3"/>
      <c r="GV841" s="3"/>
      <c r="GW841" s="3"/>
      <c r="GX841" s="3"/>
      <c r="GY841" s="3"/>
      <c r="GZ841" s="3"/>
      <c r="HA841" s="3"/>
      <c r="HB841" s="3"/>
      <c r="HC841" s="3"/>
      <c r="HD841" s="3"/>
      <c r="HE841" s="3"/>
      <c r="HF841" s="3"/>
      <c r="HG841" s="3"/>
      <c r="HH841" s="3"/>
      <c r="HI841" s="3"/>
      <c r="HJ841" s="3"/>
      <c r="HK841" s="3"/>
      <c r="HL841" s="3"/>
      <c r="HM841" s="3"/>
      <c r="HN841" s="3"/>
      <c r="HO841" s="3"/>
      <c r="HP841" s="3"/>
      <c r="HQ841" s="3"/>
      <c r="HR841" s="3"/>
      <c r="HS841" s="3"/>
      <c r="HT841" s="3"/>
    </row>
    <row r="842">
      <c r="A842" s="14"/>
      <c r="B842" s="3"/>
      <c r="C842" s="3"/>
      <c r="D842" s="3"/>
      <c r="E842" s="3"/>
      <c r="F842" s="5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7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3"/>
      <c r="FW842" s="3"/>
      <c r="FX842" s="3"/>
      <c r="FY842" s="3"/>
      <c r="FZ842" s="3"/>
      <c r="GA842" s="3"/>
      <c r="GB842" s="3"/>
      <c r="GC842" s="3"/>
      <c r="GD842" s="3"/>
      <c r="GE842" s="3"/>
      <c r="GF842" s="3"/>
      <c r="GG842" s="3"/>
      <c r="GH842" s="3"/>
      <c r="GI842" s="3"/>
      <c r="GJ842" s="3"/>
      <c r="GK842" s="3"/>
      <c r="GL842" s="3"/>
      <c r="GM842" s="3"/>
      <c r="GN842" s="3"/>
      <c r="GO842" s="3"/>
      <c r="GP842" s="3"/>
      <c r="GQ842" s="3"/>
      <c r="GR842" s="3"/>
      <c r="GS842" s="3"/>
      <c r="GT842" s="3"/>
      <c r="GU842" s="3"/>
      <c r="GV842" s="3"/>
      <c r="GW842" s="3"/>
      <c r="GX842" s="3"/>
      <c r="GY842" s="3"/>
      <c r="GZ842" s="3"/>
      <c r="HA842" s="3"/>
      <c r="HB842" s="3"/>
      <c r="HC842" s="3"/>
      <c r="HD842" s="3"/>
      <c r="HE842" s="3"/>
      <c r="HF842" s="3"/>
      <c r="HG842" s="3"/>
      <c r="HH842" s="3"/>
      <c r="HI842" s="3"/>
      <c r="HJ842" s="3"/>
      <c r="HK842" s="3"/>
      <c r="HL842" s="3"/>
      <c r="HM842" s="3"/>
      <c r="HN842" s="3"/>
      <c r="HO842" s="3"/>
      <c r="HP842" s="3"/>
      <c r="HQ842" s="3"/>
      <c r="HR842" s="3"/>
      <c r="HS842" s="3"/>
      <c r="HT842" s="3"/>
    </row>
    <row r="843">
      <c r="A843" s="14"/>
      <c r="B843" s="3"/>
      <c r="C843" s="3"/>
      <c r="D843" s="3"/>
      <c r="E843" s="3"/>
      <c r="F843" s="5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7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  <c r="FZ843" s="3"/>
      <c r="GA843" s="3"/>
      <c r="GB843" s="3"/>
      <c r="GC843" s="3"/>
      <c r="GD843" s="3"/>
      <c r="GE843" s="3"/>
      <c r="GF843" s="3"/>
      <c r="GG843" s="3"/>
      <c r="GH843" s="3"/>
      <c r="GI843" s="3"/>
      <c r="GJ843" s="3"/>
      <c r="GK843" s="3"/>
      <c r="GL843" s="3"/>
      <c r="GM843" s="3"/>
      <c r="GN843" s="3"/>
      <c r="GO843" s="3"/>
      <c r="GP843" s="3"/>
      <c r="GQ843" s="3"/>
      <c r="GR843" s="3"/>
      <c r="GS843" s="3"/>
      <c r="GT843" s="3"/>
      <c r="GU843" s="3"/>
      <c r="GV843" s="3"/>
      <c r="GW843" s="3"/>
      <c r="GX843" s="3"/>
      <c r="GY843" s="3"/>
      <c r="GZ843" s="3"/>
      <c r="HA843" s="3"/>
      <c r="HB843" s="3"/>
      <c r="HC843" s="3"/>
      <c r="HD843" s="3"/>
      <c r="HE843" s="3"/>
      <c r="HF843" s="3"/>
      <c r="HG843" s="3"/>
      <c r="HH843" s="3"/>
      <c r="HI843" s="3"/>
      <c r="HJ843" s="3"/>
      <c r="HK843" s="3"/>
      <c r="HL843" s="3"/>
      <c r="HM843" s="3"/>
      <c r="HN843" s="3"/>
      <c r="HO843" s="3"/>
      <c r="HP843" s="3"/>
      <c r="HQ843" s="3"/>
      <c r="HR843" s="3"/>
      <c r="HS843" s="3"/>
      <c r="HT843" s="3"/>
    </row>
    <row r="844">
      <c r="A844" s="14"/>
      <c r="B844" s="3"/>
      <c r="C844" s="3"/>
      <c r="D844" s="3"/>
      <c r="E844" s="3"/>
      <c r="F844" s="5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7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D844" s="3"/>
      <c r="GE844" s="3"/>
      <c r="GF844" s="3"/>
      <c r="GG844" s="3"/>
      <c r="GH844" s="3"/>
      <c r="GI844" s="3"/>
      <c r="GJ844" s="3"/>
      <c r="GK844" s="3"/>
      <c r="GL844" s="3"/>
      <c r="GM844" s="3"/>
      <c r="GN844" s="3"/>
      <c r="GO844" s="3"/>
      <c r="GP844" s="3"/>
      <c r="GQ844" s="3"/>
      <c r="GR844" s="3"/>
      <c r="GS844" s="3"/>
      <c r="GT844" s="3"/>
      <c r="GU844" s="3"/>
      <c r="GV844" s="3"/>
      <c r="GW844" s="3"/>
      <c r="GX844" s="3"/>
      <c r="GY844" s="3"/>
      <c r="GZ844" s="3"/>
      <c r="HA844" s="3"/>
      <c r="HB844" s="3"/>
      <c r="HC844" s="3"/>
      <c r="HD844" s="3"/>
      <c r="HE844" s="3"/>
      <c r="HF844" s="3"/>
      <c r="HG844" s="3"/>
      <c r="HH844" s="3"/>
      <c r="HI844" s="3"/>
      <c r="HJ844" s="3"/>
      <c r="HK844" s="3"/>
      <c r="HL844" s="3"/>
      <c r="HM844" s="3"/>
      <c r="HN844" s="3"/>
      <c r="HO844" s="3"/>
      <c r="HP844" s="3"/>
      <c r="HQ844" s="3"/>
      <c r="HR844" s="3"/>
      <c r="HS844" s="3"/>
      <c r="HT844" s="3"/>
    </row>
    <row r="845">
      <c r="A845" s="14"/>
      <c r="B845" s="3"/>
      <c r="C845" s="3"/>
      <c r="D845" s="3"/>
      <c r="E845" s="3"/>
      <c r="F845" s="5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7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FX845" s="3"/>
      <c r="FY845" s="3"/>
      <c r="FZ845" s="3"/>
      <c r="GA845" s="3"/>
      <c r="GB845" s="3"/>
      <c r="GC845" s="3"/>
      <c r="GD845" s="3"/>
      <c r="GE845" s="3"/>
      <c r="GF845" s="3"/>
      <c r="GG845" s="3"/>
      <c r="GH845" s="3"/>
      <c r="GI845" s="3"/>
      <c r="GJ845" s="3"/>
      <c r="GK845" s="3"/>
      <c r="GL845" s="3"/>
      <c r="GM845" s="3"/>
      <c r="GN845" s="3"/>
      <c r="GO845" s="3"/>
      <c r="GP845" s="3"/>
      <c r="GQ845" s="3"/>
      <c r="GR845" s="3"/>
      <c r="GS845" s="3"/>
      <c r="GT845" s="3"/>
      <c r="GU845" s="3"/>
      <c r="GV845" s="3"/>
      <c r="GW845" s="3"/>
      <c r="GX845" s="3"/>
      <c r="GY845" s="3"/>
      <c r="GZ845" s="3"/>
      <c r="HA845" s="3"/>
      <c r="HB845" s="3"/>
      <c r="HC845" s="3"/>
      <c r="HD845" s="3"/>
      <c r="HE845" s="3"/>
      <c r="HF845" s="3"/>
      <c r="HG845" s="3"/>
      <c r="HH845" s="3"/>
      <c r="HI845" s="3"/>
      <c r="HJ845" s="3"/>
      <c r="HK845" s="3"/>
      <c r="HL845" s="3"/>
      <c r="HM845" s="3"/>
      <c r="HN845" s="3"/>
      <c r="HO845" s="3"/>
      <c r="HP845" s="3"/>
      <c r="HQ845" s="3"/>
      <c r="HR845" s="3"/>
      <c r="HS845" s="3"/>
      <c r="HT845" s="3"/>
    </row>
    <row r="846">
      <c r="A846" s="14"/>
      <c r="B846" s="3"/>
      <c r="C846" s="3"/>
      <c r="D846" s="3"/>
      <c r="E846" s="3"/>
      <c r="F846" s="5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7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  <c r="FZ846" s="3"/>
      <c r="GA846" s="3"/>
      <c r="GB846" s="3"/>
      <c r="GC846" s="3"/>
      <c r="GD846" s="3"/>
      <c r="GE846" s="3"/>
      <c r="GF846" s="3"/>
      <c r="GG846" s="3"/>
      <c r="GH846" s="3"/>
      <c r="GI846" s="3"/>
      <c r="GJ846" s="3"/>
      <c r="GK846" s="3"/>
      <c r="GL846" s="3"/>
      <c r="GM846" s="3"/>
      <c r="GN846" s="3"/>
      <c r="GO846" s="3"/>
      <c r="GP846" s="3"/>
      <c r="GQ846" s="3"/>
      <c r="GR846" s="3"/>
      <c r="GS846" s="3"/>
      <c r="GT846" s="3"/>
      <c r="GU846" s="3"/>
      <c r="GV846" s="3"/>
      <c r="GW846" s="3"/>
      <c r="GX846" s="3"/>
      <c r="GY846" s="3"/>
      <c r="GZ846" s="3"/>
      <c r="HA846" s="3"/>
      <c r="HB846" s="3"/>
      <c r="HC846" s="3"/>
      <c r="HD846" s="3"/>
      <c r="HE846" s="3"/>
      <c r="HF846" s="3"/>
      <c r="HG846" s="3"/>
      <c r="HH846" s="3"/>
      <c r="HI846" s="3"/>
      <c r="HJ846" s="3"/>
      <c r="HK846" s="3"/>
      <c r="HL846" s="3"/>
      <c r="HM846" s="3"/>
      <c r="HN846" s="3"/>
      <c r="HO846" s="3"/>
      <c r="HP846" s="3"/>
      <c r="HQ846" s="3"/>
      <c r="HR846" s="3"/>
      <c r="HS846" s="3"/>
      <c r="HT846" s="3"/>
    </row>
    <row r="847">
      <c r="A847" s="14"/>
      <c r="B847" s="3"/>
      <c r="C847" s="3"/>
      <c r="D847" s="3"/>
      <c r="E847" s="3"/>
      <c r="F847" s="5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7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3"/>
      <c r="FW847" s="3"/>
      <c r="FX847" s="3"/>
      <c r="FY847" s="3"/>
      <c r="FZ847" s="3"/>
      <c r="GA847" s="3"/>
      <c r="GB847" s="3"/>
      <c r="GC847" s="3"/>
      <c r="GD847" s="3"/>
      <c r="GE847" s="3"/>
      <c r="GF847" s="3"/>
      <c r="GG847" s="3"/>
      <c r="GH847" s="3"/>
      <c r="GI847" s="3"/>
      <c r="GJ847" s="3"/>
      <c r="GK847" s="3"/>
      <c r="GL847" s="3"/>
      <c r="GM847" s="3"/>
      <c r="GN847" s="3"/>
      <c r="GO847" s="3"/>
      <c r="GP847" s="3"/>
      <c r="GQ847" s="3"/>
      <c r="GR847" s="3"/>
      <c r="GS847" s="3"/>
      <c r="GT847" s="3"/>
      <c r="GU847" s="3"/>
      <c r="GV847" s="3"/>
      <c r="GW847" s="3"/>
      <c r="GX847" s="3"/>
      <c r="GY847" s="3"/>
      <c r="GZ847" s="3"/>
      <c r="HA847" s="3"/>
      <c r="HB847" s="3"/>
      <c r="HC847" s="3"/>
      <c r="HD847" s="3"/>
      <c r="HE847" s="3"/>
      <c r="HF847" s="3"/>
      <c r="HG847" s="3"/>
      <c r="HH847" s="3"/>
      <c r="HI847" s="3"/>
      <c r="HJ847" s="3"/>
      <c r="HK847" s="3"/>
      <c r="HL847" s="3"/>
      <c r="HM847" s="3"/>
      <c r="HN847" s="3"/>
      <c r="HO847" s="3"/>
      <c r="HP847" s="3"/>
      <c r="HQ847" s="3"/>
      <c r="HR847" s="3"/>
      <c r="HS847" s="3"/>
      <c r="HT847" s="3"/>
    </row>
    <row r="848">
      <c r="A848" s="14"/>
      <c r="B848" s="3"/>
      <c r="C848" s="3"/>
      <c r="D848" s="3"/>
      <c r="E848" s="3"/>
      <c r="F848" s="5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7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FX848" s="3"/>
      <c r="FY848" s="3"/>
      <c r="FZ848" s="3"/>
      <c r="GA848" s="3"/>
      <c r="GB848" s="3"/>
      <c r="GC848" s="3"/>
      <c r="GD848" s="3"/>
      <c r="GE848" s="3"/>
      <c r="GF848" s="3"/>
      <c r="GG848" s="3"/>
      <c r="GH848" s="3"/>
      <c r="GI848" s="3"/>
      <c r="GJ848" s="3"/>
      <c r="GK848" s="3"/>
      <c r="GL848" s="3"/>
      <c r="GM848" s="3"/>
      <c r="GN848" s="3"/>
      <c r="GO848" s="3"/>
      <c r="GP848" s="3"/>
      <c r="GQ848" s="3"/>
      <c r="GR848" s="3"/>
      <c r="GS848" s="3"/>
      <c r="GT848" s="3"/>
      <c r="GU848" s="3"/>
      <c r="GV848" s="3"/>
      <c r="GW848" s="3"/>
      <c r="GX848" s="3"/>
      <c r="GY848" s="3"/>
      <c r="GZ848" s="3"/>
      <c r="HA848" s="3"/>
      <c r="HB848" s="3"/>
      <c r="HC848" s="3"/>
      <c r="HD848" s="3"/>
      <c r="HE848" s="3"/>
      <c r="HF848" s="3"/>
      <c r="HG848" s="3"/>
      <c r="HH848" s="3"/>
      <c r="HI848" s="3"/>
      <c r="HJ848" s="3"/>
      <c r="HK848" s="3"/>
      <c r="HL848" s="3"/>
      <c r="HM848" s="3"/>
      <c r="HN848" s="3"/>
      <c r="HO848" s="3"/>
      <c r="HP848" s="3"/>
      <c r="HQ848" s="3"/>
      <c r="HR848" s="3"/>
      <c r="HS848" s="3"/>
      <c r="HT848" s="3"/>
    </row>
    <row r="849">
      <c r="A849" s="14"/>
      <c r="B849" s="3"/>
      <c r="C849" s="3"/>
      <c r="D849" s="3"/>
      <c r="E849" s="3"/>
      <c r="F849" s="5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7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D849" s="3"/>
      <c r="GE849" s="3"/>
      <c r="GF849" s="3"/>
      <c r="GG849" s="3"/>
      <c r="GH849" s="3"/>
      <c r="GI849" s="3"/>
      <c r="GJ849" s="3"/>
      <c r="GK849" s="3"/>
      <c r="GL849" s="3"/>
      <c r="GM849" s="3"/>
      <c r="GN849" s="3"/>
      <c r="GO849" s="3"/>
      <c r="GP849" s="3"/>
      <c r="GQ849" s="3"/>
      <c r="GR849" s="3"/>
      <c r="GS849" s="3"/>
      <c r="GT849" s="3"/>
      <c r="GU849" s="3"/>
      <c r="GV849" s="3"/>
      <c r="GW849" s="3"/>
      <c r="GX849" s="3"/>
      <c r="GY849" s="3"/>
      <c r="GZ849" s="3"/>
      <c r="HA849" s="3"/>
      <c r="HB849" s="3"/>
      <c r="HC849" s="3"/>
      <c r="HD849" s="3"/>
      <c r="HE849" s="3"/>
      <c r="HF849" s="3"/>
      <c r="HG849" s="3"/>
      <c r="HH849" s="3"/>
      <c r="HI849" s="3"/>
      <c r="HJ849" s="3"/>
      <c r="HK849" s="3"/>
      <c r="HL849" s="3"/>
      <c r="HM849" s="3"/>
      <c r="HN849" s="3"/>
      <c r="HO849" s="3"/>
      <c r="HP849" s="3"/>
      <c r="HQ849" s="3"/>
      <c r="HR849" s="3"/>
      <c r="HS849" s="3"/>
      <c r="HT849" s="3"/>
    </row>
    <row r="850">
      <c r="A850" s="14"/>
      <c r="B850" s="3"/>
      <c r="C850" s="3"/>
      <c r="D850" s="3"/>
      <c r="E850" s="3"/>
      <c r="F850" s="5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7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FX850" s="3"/>
      <c r="FY850" s="3"/>
      <c r="FZ850" s="3"/>
      <c r="GA850" s="3"/>
      <c r="GB850" s="3"/>
      <c r="GC850" s="3"/>
      <c r="GD850" s="3"/>
      <c r="GE850" s="3"/>
      <c r="GF850" s="3"/>
      <c r="GG850" s="3"/>
      <c r="GH850" s="3"/>
      <c r="GI850" s="3"/>
      <c r="GJ850" s="3"/>
      <c r="GK850" s="3"/>
      <c r="GL850" s="3"/>
      <c r="GM850" s="3"/>
      <c r="GN850" s="3"/>
      <c r="GO850" s="3"/>
      <c r="GP850" s="3"/>
      <c r="GQ850" s="3"/>
      <c r="GR850" s="3"/>
      <c r="GS850" s="3"/>
      <c r="GT850" s="3"/>
      <c r="GU850" s="3"/>
      <c r="GV850" s="3"/>
      <c r="GW850" s="3"/>
      <c r="GX850" s="3"/>
      <c r="GY850" s="3"/>
      <c r="GZ850" s="3"/>
      <c r="HA850" s="3"/>
      <c r="HB850" s="3"/>
      <c r="HC850" s="3"/>
      <c r="HD850" s="3"/>
      <c r="HE850" s="3"/>
      <c r="HF850" s="3"/>
      <c r="HG850" s="3"/>
      <c r="HH850" s="3"/>
      <c r="HI850" s="3"/>
      <c r="HJ850" s="3"/>
      <c r="HK850" s="3"/>
      <c r="HL850" s="3"/>
      <c r="HM850" s="3"/>
      <c r="HN850" s="3"/>
      <c r="HO850" s="3"/>
      <c r="HP850" s="3"/>
      <c r="HQ850" s="3"/>
      <c r="HR850" s="3"/>
      <c r="HS850" s="3"/>
      <c r="HT850" s="3"/>
    </row>
    <row r="851">
      <c r="A851" s="14"/>
      <c r="B851" s="3"/>
      <c r="C851" s="3"/>
      <c r="D851" s="3"/>
      <c r="E851" s="3"/>
      <c r="F851" s="5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7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FX851" s="3"/>
      <c r="FY851" s="3"/>
      <c r="FZ851" s="3"/>
      <c r="GA851" s="3"/>
      <c r="GB851" s="3"/>
      <c r="GC851" s="3"/>
      <c r="GD851" s="3"/>
      <c r="GE851" s="3"/>
      <c r="GF851" s="3"/>
      <c r="GG851" s="3"/>
      <c r="GH851" s="3"/>
      <c r="GI851" s="3"/>
      <c r="GJ851" s="3"/>
      <c r="GK851" s="3"/>
      <c r="GL851" s="3"/>
      <c r="GM851" s="3"/>
      <c r="GN851" s="3"/>
      <c r="GO851" s="3"/>
      <c r="GP851" s="3"/>
      <c r="GQ851" s="3"/>
      <c r="GR851" s="3"/>
      <c r="GS851" s="3"/>
      <c r="GT851" s="3"/>
      <c r="GU851" s="3"/>
      <c r="GV851" s="3"/>
      <c r="GW851" s="3"/>
      <c r="GX851" s="3"/>
      <c r="GY851" s="3"/>
      <c r="GZ851" s="3"/>
      <c r="HA851" s="3"/>
      <c r="HB851" s="3"/>
      <c r="HC851" s="3"/>
      <c r="HD851" s="3"/>
      <c r="HE851" s="3"/>
      <c r="HF851" s="3"/>
      <c r="HG851" s="3"/>
      <c r="HH851" s="3"/>
      <c r="HI851" s="3"/>
      <c r="HJ851" s="3"/>
      <c r="HK851" s="3"/>
      <c r="HL851" s="3"/>
      <c r="HM851" s="3"/>
      <c r="HN851" s="3"/>
      <c r="HO851" s="3"/>
      <c r="HP851" s="3"/>
      <c r="HQ851" s="3"/>
      <c r="HR851" s="3"/>
      <c r="HS851" s="3"/>
      <c r="HT851" s="3"/>
    </row>
    <row r="852">
      <c r="A852" s="14"/>
      <c r="B852" s="3"/>
      <c r="C852" s="3"/>
      <c r="D852" s="3"/>
      <c r="E852" s="3"/>
      <c r="F852" s="5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7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FX852" s="3"/>
      <c r="FY852" s="3"/>
      <c r="FZ852" s="3"/>
      <c r="GA852" s="3"/>
      <c r="GB852" s="3"/>
      <c r="GC852" s="3"/>
      <c r="GD852" s="3"/>
      <c r="GE852" s="3"/>
      <c r="GF852" s="3"/>
      <c r="GG852" s="3"/>
      <c r="GH852" s="3"/>
      <c r="GI852" s="3"/>
      <c r="GJ852" s="3"/>
      <c r="GK852" s="3"/>
      <c r="GL852" s="3"/>
      <c r="GM852" s="3"/>
      <c r="GN852" s="3"/>
      <c r="GO852" s="3"/>
      <c r="GP852" s="3"/>
      <c r="GQ852" s="3"/>
      <c r="GR852" s="3"/>
      <c r="GS852" s="3"/>
      <c r="GT852" s="3"/>
      <c r="GU852" s="3"/>
      <c r="GV852" s="3"/>
      <c r="GW852" s="3"/>
      <c r="GX852" s="3"/>
      <c r="GY852" s="3"/>
      <c r="GZ852" s="3"/>
      <c r="HA852" s="3"/>
      <c r="HB852" s="3"/>
      <c r="HC852" s="3"/>
      <c r="HD852" s="3"/>
      <c r="HE852" s="3"/>
      <c r="HF852" s="3"/>
      <c r="HG852" s="3"/>
      <c r="HH852" s="3"/>
      <c r="HI852" s="3"/>
      <c r="HJ852" s="3"/>
      <c r="HK852" s="3"/>
      <c r="HL852" s="3"/>
      <c r="HM852" s="3"/>
      <c r="HN852" s="3"/>
      <c r="HO852" s="3"/>
      <c r="HP852" s="3"/>
      <c r="HQ852" s="3"/>
      <c r="HR852" s="3"/>
      <c r="HS852" s="3"/>
      <c r="HT852" s="3"/>
    </row>
    <row r="853">
      <c r="A853" s="14"/>
      <c r="B853" s="3"/>
      <c r="C853" s="3"/>
      <c r="D853" s="3"/>
      <c r="E853" s="3"/>
      <c r="F853" s="5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7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FX853" s="3"/>
      <c r="FY853" s="3"/>
      <c r="FZ853" s="3"/>
      <c r="GA853" s="3"/>
      <c r="GB853" s="3"/>
      <c r="GC853" s="3"/>
      <c r="GD853" s="3"/>
      <c r="GE853" s="3"/>
      <c r="GF853" s="3"/>
      <c r="GG853" s="3"/>
      <c r="GH853" s="3"/>
      <c r="GI853" s="3"/>
      <c r="GJ853" s="3"/>
      <c r="GK853" s="3"/>
      <c r="GL853" s="3"/>
      <c r="GM853" s="3"/>
      <c r="GN853" s="3"/>
      <c r="GO853" s="3"/>
      <c r="GP853" s="3"/>
      <c r="GQ853" s="3"/>
      <c r="GR853" s="3"/>
      <c r="GS853" s="3"/>
      <c r="GT853" s="3"/>
      <c r="GU853" s="3"/>
      <c r="GV853" s="3"/>
      <c r="GW853" s="3"/>
      <c r="GX853" s="3"/>
      <c r="GY853" s="3"/>
      <c r="GZ853" s="3"/>
      <c r="HA853" s="3"/>
      <c r="HB853" s="3"/>
      <c r="HC853" s="3"/>
      <c r="HD853" s="3"/>
      <c r="HE853" s="3"/>
      <c r="HF853" s="3"/>
      <c r="HG853" s="3"/>
      <c r="HH853" s="3"/>
      <c r="HI853" s="3"/>
      <c r="HJ853" s="3"/>
      <c r="HK853" s="3"/>
      <c r="HL853" s="3"/>
      <c r="HM853" s="3"/>
      <c r="HN853" s="3"/>
      <c r="HO853" s="3"/>
      <c r="HP853" s="3"/>
      <c r="HQ853" s="3"/>
      <c r="HR853" s="3"/>
      <c r="HS853" s="3"/>
      <c r="HT853" s="3"/>
    </row>
    <row r="854">
      <c r="A854" s="14"/>
      <c r="B854" s="3"/>
      <c r="C854" s="3"/>
      <c r="D854" s="3"/>
      <c r="E854" s="3"/>
      <c r="F854" s="5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7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3"/>
      <c r="FW854" s="3"/>
      <c r="FX854" s="3"/>
      <c r="FY854" s="3"/>
      <c r="FZ854" s="3"/>
      <c r="GA854" s="3"/>
      <c r="GB854" s="3"/>
      <c r="GC854" s="3"/>
      <c r="GD854" s="3"/>
      <c r="GE854" s="3"/>
      <c r="GF854" s="3"/>
      <c r="GG854" s="3"/>
      <c r="GH854" s="3"/>
      <c r="GI854" s="3"/>
      <c r="GJ854" s="3"/>
      <c r="GK854" s="3"/>
      <c r="GL854" s="3"/>
      <c r="GM854" s="3"/>
      <c r="GN854" s="3"/>
      <c r="GO854" s="3"/>
      <c r="GP854" s="3"/>
      <c r="GQ854" s="3"/>
      <c r="GR854" s="3"/>
      <c r="GS854" s="3"/>
      <c r="GT854" s="3"/>
      <c r="GU854" s="3"/>
      <c r="GV854" s="3"/>
      <c r="GW854" s="3"/>
      <c r="GX854" s="3"/>
      <c r="GY854" s="3"/>
      <c r="GZ854" s="3"/>
      <c r="HA854" s="3"/>
      <c r="HB854" s="3"/>
      <c r="HC854" s="3"/>
      <c r="HD854" s="3"/>
      <c r="HE854" s="3"/>
      <c r="HF854" s="3"/>
      <c r="HG854" s="3"/>
      <c r="HH854" s="3"/>
      <c r="HI854" s="3"/>
      <c r="HJ854" s="3"/>
      <c r="HK854" s="3"/>
      <c r="HL854" s="3"/>
      <c r="HM854" s="3"/>
      <c r="HN854" s="3"/>
      <c r="HO854" s="3"/>
      <c r="HP854" s="3"/>
      <c r="HQ854" s="3"/>
      <c r="HR854" s="3"/>
      <c r="HS854" s="3"/>
      <c r="HT854" s="3"/>
    </row>
    <row r="855">
      <c r="A855" s="14"/>
      <c r="B855" s="3"/>
      <c r="C855" s="3"/>
      <c r="D855" s="3"/>
      <c r="E855" s="3"/>
      <c r="F855" s="5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7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3"/>
      <c r="FW855" s="3"/>
      <c r="FX855" s="3"/>
      <c r="FY855" s="3"/>
      <c r="FZ855" s="3"/>
      <c r="GA855" s="3"/>
      <c r="GB855" s="3"/>
      <c r="GC855" s="3"/>
      <c r="GD855" s="3"/>
      <c r="GE855" s="3"/>
      <c r="GF855" s="3"/>
      <c r="GG855" s="3"/>
      <c r="GH855" s="3"/>
      <c r="GI855" s="3"/>
      <c r="GJ855" s="3"/>
      <c r="GK855" s="3"/>
      <c r="GL855" s="3"/>
      <c r="GM855" s="3"/>
      <c r="GN855" s="3"/>
      <c r="GO855" s="3"/>
      <c r="GP855" s="3"/>
      <c r="GQ855" s="3"/>
      <c r="GR855" s="3"/>
      <c r="GS855" s="3"/>
      <c r="GT855" s="3"/>
      <c r="GU855" s="3"/>
      <c r="GV855" s="3"/>
      <c r="GW855" s="3"/>
      <c r="GX855" s="3"/>
      <c r="GY855" s="3"/>
      <c r="GZ855" s="3"/>
      <c r="HA855" s="3"/>
      <c r="HB855" s="3"/>
      <c r="HC855" s="3"/>
      <c r="HD855" s="3"/>
      <c r="HE855" s="3"/>
      <c r="HF855" s="3"/>
      <c r="HG855" s="3"/>
      <c r="HH855" s="3"/>
      <c r="HI855" s="3"/>
      <c r="HJ855" s="3"/>
      <c r="HK855" s="3"/>
      <c r="HL855" s="3"/>
      <c r="HM855" s="3"/>
      <c r="HN855" s="3"/>
      <c r="HO855" s="3"/>
      <c r="HP855" s="3"/>
      <c r="HQ855" s="3"/>
      <c r="HR855" s="3"/>
      <c r="HS855" s="3"/>
      <c r="HT855" s="3"/>
    </row>
    <row r="856">
      <c r="A856" s="14"/>
      <c r="B856" s="3"/>
      <c r="C856" s="3"/>
      <c r="D856" s="3"/>
      <c r="E856" s="3"/>
      <c r="F856" s="5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7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3"/>
      <c r="FW856" s="3"/>
      <c r="FX856" s="3"/>
      <c r="FY856" s="3"/>
      <c r="FZ856" s="3"/>
      <c r="GA856" s="3"/>
      <c r="GB856" s="3"/>
      <c r="GC856" s="3"/>
      <c r="GD856" s="3"/>
      <c r="GE856" s="3"/>
      <c r="GF856" s="3"/>
      <c r="GG856" s="3"/>
      <c r="GH856" s="3"/>
      <c r="GI856" s="3"/>
      <c r="GJ856" s="3"/>
      <c r="GK856" s="3"/>
      <c r="GL856" s="3"/>
      <c r="GM856" s="3"/>
      <c r="GN856" s="3"/>
      <c r="GO856" s="3"/>
      <c r="GP856" s="3"/>
      <c r="GQ856" s="3"/>
      <c r="GR856" s="3"/>
      <c r="GS856" s="3"/>
      <c r="GT856" s="3"/>
      <c r="GU856" s="3"/>
      <c r="GV856" s="3"/>
      <c r="GW856" s="3"/>
      <c r="GX856" s="3"/>
      <c r="GY856" s="3"/>
      <c r="GZ856" s="3"/>
      <c r="HA856" s="3"/>
      <c r="HB856" s="3"/>
      <c r="HC856" s="3"/>
      <c r="HD856" s="3"/>
      <c r="HE856" s="3"/>
      <c r="HF856" s="3"/>
      <c r="HG856" s="3"/>
      <c r="HH856" s="3"/>
      <c r="HI856" s="3"/>
      <c r="HJ856" s="3"/>
      <c r="HK856" s="3"/>
      <c r="HL856" s="3"/>
      <c r="HM856" s="3"/>
      <c r="HN856" s="3"/>
      <c r="HO856" s="3"/>
      <c r="HP856" s="3"/>
      <c r="HQ856" s="3"/>
      <c r="HR856" s="3"/>
      <c r="HS856" s="3"/>
      <c r="HT856" s="3"/>
    </row>
    <row r="857">
      <c r="A857" s="14"/>
      <c r="B857" s="3"/>
      <c r="C857" s="3"/>
      <c r="D857" s="3"/>
      <c r="E857" s="3"/>
      <c r="F857" s="5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7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  <c r="FZ857" s="3"/>
      <c r="GA857" s="3"/>
      <c r="GB857" s="3"/>
      <c r="GC857" s="3"/>
      <c r="GD857" s="3"/>
      <c r="GE857" s="3"/>
      <c r="GF857" s="3"/>
      <c r="GG857" s="3"/>
      <c r="GH857" s="3"/>
      <c r="GI857" s="3"/>
      <c r="GJ857" s="3"/>
      <c r="GK857" s="3"/>
      <c r="GL857" s="3"/>
      <c r="GM857" s="3"/>
      <c r="GN857" s="3"/>
      <c r="GO857" s="3"/>
      <c r="GP857" s="3"/>
      <c r="GQ857" s="3"/>
      <c r="GR857" s="3"/>
      <c r="GS857" s="3"/>
      <c r="GT857" s="3"/>
      <c r="GU857" s="3"/>
      <c r="GV857" s="3"/>
      <c r="GW857" s="3"/>
      <c r="GX857" s="3"/>
      <c r="GY857" s="3"/>
      <c r="GZ857" s="3"/>
      <c r="HA857" s="3"/>
      <c r="HB857" s="3"/>
      <c r="HC857" s="3"/>
      <c r="HD857" s="3"/>
      <c r="HE857" s="3"/>
      <c r="HF857" s="3"/>
      <c r="HG857" s="3"/>
      <c r="HH857" s="3"/>
      <c r="HI857" s="3"/>
      <c r="HJ857" s="3"/>
      <c r="HK857" s="3"/>
      <c r="HL857" s="3"/>
      <c r="HM857" s="3"/>
      <c r="HN857" s="3"/>
      <c r="HO857" s="3"/>
      <c r="HP857" s="3"/>
      <c r="HQ857" s="3"/>
      <c r="HR857" s="3"/>
      <c r="HS857" s="3"/>
      <c r="HT857" s="3"/>
    </row>
    <row r="858">
      <c r="A858" s="14"/>
      <c r="B858" s="3"/>
      <c r="C858" s="3"/>
      <c r="D858" s="3"/>
      <c r="E858" s="3"/>
      <c r="F858" s="5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7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  <c r="FZ858" s="3"/>
      <c r="GA858" s="3"/>
      <c r="GB858" s="3"/>
      <c r="GC858" s="3"/>
      <c r="GD858" s="3"/>
      <c r="GE858" s="3"/>
      <c r="GF858" s="3"/>
      <c r="GG858" s="3"/>
      <c r="GH858" s="3"/>
      <c r="GI858" s="3"/>
      <c r="GJ858" s="3"/>
      <c r="GK858" s="3"/>
      <c r="GL858" s="3"/>
      <c r="GM858" s="3"/>
      <c r="GN858" s="3"/>
      <c r="GO858" s="3"/>
      <c r="GP858" s="3"/>
      <c r="GQ858" s="3"/>
      <c r="GR858" s="3"/>
      <c r="GS858" s="3"/>
      <c r="GT858" s="3"/>
      <c r="GU858" s="3"/>
      <c r="GV858" s="3"/>
      <c r="GW858" s="3"/>
      <c r="GX858" s="3"/>
      <c r="GY858" s="3"/>
      <c r="GZ858" s="3"/>
      <c r="HA858" s="3"/>
      <c r="HB858" s="3"/>
      <c r="HC858" s="3"/>
      <c r="HD858" s="3"/>
      <c r="HE858" s="3"/>
      <c r="HF858" s="3"/>
      <c r="HG858" s="3"/>
      <c r="HH858" s="3"/>
      <c r="HI858" s="3"/>
      <c r="HJ858" s="3"/>
      <c r="HK858" s="3"/>
      <c r="HL858" s="3"/>
      <c r="HM858" s="3"/>
      <c r="HN858" s="3"/>
      <c r="HO858" s="3"/>
      <c r="HP858" s="3"/>
      <c r="HQ858" s="3"/>
      <c r="HR858" s="3"/>
      <c r="HS858" s="3"/>
      <c r="HT858" s="3"/>
    </row>
    <row r="859">
      <c r="A859" s="14"/>
      <c r="B859" s="3"/>
      <c r="C859" s="3"/>
      <c r="D859" s="3"/>
      <c r="E859" s="3"/>
      <c r="F859" s="5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7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3"/>
      <c r="FW859" s="3"/>
      <c r="FX859" s="3"/>
      <c r="FY859" s="3"/>
      <c r="FZ859" s="3"/>
      <c r="GA859" s="3"/>
      <c r="GB859" s="3"/>
      <c r="GC859" s="3"/>
      <c r="GD859" s="3"/>
      <c r="GE859" s="3"/>
      <c r="GF859" s="3"/>
      <c r="GG859" s="3"/>
      <c r="GH859" s="3"/>
      <c r="GI859" s="3"/>
      <c r="GJ859" s="3"/>
      <c r="GK859" s="3"/>
      <c r="GL859" s="3"/>
      <c r="GM859" s="3"/>
      <c r="GN859" s="3"/>
      <c r="GO859" s="3"/>
      <c r="GP859" s="3"/>
      <c r="GQ859" s="3"/>
      <c r="GR859" s="3"/>
      <c r="GS859" s="3"/>
      <c r="GT859" s="3"/>
      <c r="GU859" s="3"/>
      <c r="GV859" s="3"/>
      <c r="GW859" s="3"/>
      <c r="GX859" s="3"/>
      <c r="GY859" s="3"/>
      <c r="GZ859" s="3"/>
      <c r="HA859" s="3"/>
      <c r="HB859" s="3"/>
      <c r="HC859" s="3"/>
      <c r="HD859" s="3"/>
      <c r="HE859" s="3"/>
      <c r="HF859" s="3"/>
      <c r="HG859" s="3"/>
      <c r="HH859" s="3"/>
      <c r="HI859" s="3"/>
      <c r="HJ859" s="3"/>
      <c r="HK859" s="3"/>
      <c r="HL859" s="3"/>
      <c r="HM859" s="3"/>
      <c r="HN859" s="3"/>
      <c r="HO859" s="3"/>
      <c r="HP859" s="3"/>
      <c r="HQ859" s="3"/>
      <c r="HR859" s="3"/>
      <c r="HS859" s="3"/>
      <c r="HT859" s="3"/>
    </row>
    <row r="860">
      <c r="A860" s="14"/>
      <c r="B860" s="3"/>
      <c r="C860" s="3"/>
      <c r="D860" s="3"/>
      <c r="E860" s="3"/>
      <c r="F860" s="5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7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D860" s="3"/>
      <c r="GE860" s="3"/>
      <c r="GF860" s="3"/>
      <c r="GG860" s="3"/>
      <c r="GH860" s="3"/>
      <c r="GI860" s="3"/>
      <c r="GJ860" s="3"/>
      <c r="GK860" s="3"/>
      <c r="GL860" s="3"/>
      <c r="GM860" s="3"/>
      <c r="GN860" s="3"/>
      <c r="GO860" s="3"/>
      <c r="GP860" s="3"/>
      <c r="GQ860" s="3"/>
      <c r="GR860" s="3"/>
      <c r="GS860" s="3"/>
      <c r="GT860" s="3"/>
      <c r="GU860" s="3"/>
      <c r="GV860" s="3"/>
      <c r="GW860" s="3"/>
      <c r="GX860" s="3"/>
      <c r="GY860" s="3"/>
      <c r="GZ860" s="3"/>
      <c r="HA860" s="3"/>
      <c r="HB860" s="3"/>
      <c r="HC860" s="3"/>
      <c r="HD860" s="3"/>
      <c r="HE860" s="3"/>
      <c r="HF860" s="3"/>
      <c r="HG860" s="3"/>
      <c r="HH860" s="3"/>
      <c r="HI860" s="3"/>
      <c r="HJ860" s="3"/>
      <c r="HK860" s="3"/>
      <c r="HL860" s="3"/>
      <c r="HM860" s="3"/>
      <c r="HN860" s="3"/>
      <c r="HO860" s="3"/>
      <c r="HP860" s="3"/>
      <c r="HQ860" s="3"/>
      <c r="HR860" s="3"/>
      <c r="HS860" s="3"/>
      <c r="HT860" s="3"/>
    </row>
    <row r="861">
      <c r="A861" s="14"/>
      <c r="B861" s="3"/>
      <c r="C861" s="3"/>
      <c r="D861" s="3"/>
      <c r="E861" s="3"/>
      <c r="F861" s="5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7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3"/>
      <c r="FW861" s="3"/>
      <c r="FX861" s="3"/>
      <c r="FY861" s="3"/>
      <c r="FZ861" s="3"/>
      <c r="GA861" s="3"/>
      <c r="GB861" s="3"/>
      <c r="GC861" s="3"/>
      <c r="GD861" s="3"/>
      <c r="GE861" s="3"/>
      <c r="GF861" s="3"/>
      <c r="GG861" s="3"/>
      <c r="GH861" s="3"/>
      <c r="GI861" s="3"/>
      <c r="GJ861" s="3"/>
      <c r="GK861" s="3"/>
      <c r="GL861" s="3"/>
      <c r="GM861" s="3"/>
      <c r="GN861" s="3"/>
      <c r="GO861" s="3"/>
      <c r="GP861" s="3"/>
      <c r="GQ861" s="3"/>
      <c r="GR861" s="3"/>
      <c r="GS861" s="3"/>
      <c r="GT861" s="3"/>
      <c r="GU861" s="3"/>
      <c r="GV861" s="3"/>
      <c r="GW861" s="3"/>
      <c r="GX861" s="3"/>
      <c r="GY861" s="3"/>
      <c r="GZ861" s="3"/>
      <c r="HA861" s="3"/>
      <c r="HB861" s="3"/>
      <c r="HC861" s="3"/>
      <c r="HD861" s="3"/>
      <c r="HE861" s="3"/>
      <c r="HF861" s="3"/>
      <c r="HG861" s="3"/>
      <c r="HH861" s="3"/>
      <c r="HI861" s="3"/>
      <c r="HJ861" s="3"/>
      <c r="HK861" s="3"/>
      <c r="HL861" s="3"/>
      <c r="HM861" s="3"/>
      <c r="HN861" s="3"/>
      <c r="HO861" s="3"/>
      <c r="HP861" s="3"/>
      <c r="HQ861" s="3"/>
      <c r="HR861" s="3"/>
      <c r="HS861" s="3"/>
      <c r="HT861" s="3"/>
    </row>
    <row r="862">
      <c r="A862" s="14"/>
      <c r="B862" s="3"/>
      <c r="C862" s="3"/>
      <c r="D862" s="3"/>
      <c r="E862" s="3"/>
      <c r="F862" s="5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7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/>
      <c r="GB862" s="3"/>
      <c r="GC862" s="3"/>
      <c r="GD862" s="3"/>
      <c r="GE862" s="3"/>
      <c r="GF862" s="3"/>
      <c r="GG862" s="3"/>
      <c r="GH862" s="3"/>
      <c r="GI862" s="3"/>
      <c r="GJ862" s="3"/>
      <c r="GK862" s="3"/>
      <c r="GL862" s="3"/>
      <c r="GM862" s="3"/>
      <c r="GN862" s="3"/>
      <c r="GO862" s="3"/>
      <c r="GP862" s="3"/>
      <c r="GQ862" s="3"/>
      <c r="GR862" s="3"/>
      <c r="GS862" s="3"/>
      <c r="GT862" s="3"/>
      <c r="GU862" s="3"/>
      <c r="GV862" s="3"/>
      <c r="GW862" s="3"/>
      <c r="GX862" s="3"/>
      <c r="GY862" s="3"/>
      <c r="GZ862" s="3"/>
      <c r="HA862" s="3"/>
      <c r="HB862" s="3"/>
      <c r="HC862" s="3"/>
      <c r="HD862" s="3"/>
      <c r="HE862" s="3"/>
      <c r="HF862" s="3"/>
      <c r="HG862" s="3"/>
      <c r="HH862" s="3"/>
      <c r="HI862" s="3"/>
      <c r="HJ862" s="3"/>
      <c r="HK862" s="3"/>
      <c r="HL862" s="3"/>
      <c r="HM862" s="3"/>
      <c r="HN862" s="3"/>
      <c r="HO862" s="3"/>
      <c r="HP862" s="3"/>
      <c r="HQ862" s="3"/>
      <c r="HR862" s="3"/>
      <c r="HS862" s="3"/>
      <c r="HT862" s="3"/>
    </row>
    <row r="863">
      <c r="A863" s="14"/>
      <c r="B863" s="3"/>
      <c r="C863" s="3"/>
      <c r="D863" s="3"/>
      <c r="E863" s="3"/>
      <c r="F863" s="5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7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  <c r="FZ863" s="3"/>
      <c r="GA863" s="3"/>
      <c r="GB863" s="3"/>
      <c r="GC863" s="3"/>
      <c r="GD863" s="3"/>
      <c r="GE863" s="3"/>
      <c r="GF863" s="3"/>
      <c r="GG863" s="3"/>
      <c r="GH863" s="3"/>
      <c r="GI863" s="3"/>
      <c r="GJ863" s="3"/>
      <c r="GK863" s="3"/>
      <c r="GL863" s="3"/>
      <c r="GM863" s="3"/>
      <c r="GN863" s="3"/>
      <c r="GO863" s="3"/>
      <c r="GP863" s="3"/>
      <c r="GQ863" s="3"/>
      <c r="GR863" s="3"/>
      <c r="GS863" s="3"/>
      <c r="GT863" s="3"/>
      <c r="GU863" s="3"/>
      <c r="GV863" s="3"/>
      <c r="GW863" s="3"/>
      <c r="GX863" s="3"/>
      <c r="GY863" s="3"/>
      <c r="GZ863" s="3"/>
      <c r="HA863" s="3"/>
      <c r="HB863" s="3"/>
      <c r="HC863" s="3"/>
      <c r="HD863" s="3"/>
      <c r="HE863" s="3"/>
      <c r="HF863" s="3"/>
      <c r="HG863" s="3"/>
      <c r="HH863" s="3"/>
      <c r="HI863" s="3"/>
      <c r="HJ863" s="3"/>
      <c r="HK863" s="3"/>
      <c r="HL863" s="3"/>
      <c r="HM863" s="3"/>
      <c r="HN863" s="3"/>
      <c r="HO863" s="3"/>
      <c r="HP863" s="3"/>
      <c r="HQ863" s="3"/>
      <c r="HR863" s="3"/>
      <c r="HS863" s="3"/>
      <c r="HT863" s="3"/>
    </row>
    <row r="864">
      <c r="A864" s="14"/>
      <c r="B864" s="3"/>
      <c r="C864" s="3"/>
      <c r="D864" s="3"/>
      <c r="E864" s="3"/>
      <c r="F864" s="5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7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D864" s="3"/>
      <c r="GE864" s="3"/>
      <c r="GF864" s="3"/>
      <c r="GG864" s="3"/>
      <c r="GH864" s="3"/>
      <c r="GI864" s="3"/>
      <c r="GJ864" s="3"/>
      <c r="GK864" s="3"/>
      <c r="GL864" s="3"/>
      <c r="GM864" s="3"/>
      <c r="GN864" s="3"/>
      <c r="GO864" s="3"/>
      <c r="GP864" s="3"/>
      <c r="GQ864" s="3"/>
      <c r="GR864" s="3"/>
      <c r="GS864" s="3"/>
      <c r="GT864" s="3"/>
      <c r="GU864" s="3"/>
      <c r="GV864" s="3"/>
      <c r="GW864" s="3"/>
      <c r="GX864" s="3"/>
      <c r="GY864" s="3"/>
      <c r="GZ864" s="3"/>
      <c r="HA864" s="3"/>
      <c r="HB864" s="3"/>
      <c r="HC864" s="3"/>
      <c r="HD864" s="3"/>
      <c r="HE864" s="3"/>
      <c r="HF864" s="3"/>
      <c r="HG864" s="3"/>
      <c r="HH864" s="3"/>
      <c r="HI864" s="3"/>
      <c r="HJ864" s="3"/>
      <c r="HK864" s="3"/>
      <c r="HL864" s="3"/>
      <c r="HM864" s="3"/>
      <c r="HN864" s="3"/>
      <c r="HO864" s="3"/>
      <c r="HP864" s="3"/>
      <c r="HQ864" s="3"/>
      <c r="HR864" s="3"/>
      <c r="HS864" s="3"/>
      <c r="HT864" s="3"/>
    </row>
    <row r="865">
      <c r="A865" s="14"/>
      <c r="B865" s="3"/>
      <c r="C865" s="3"/>
      <c r="D865" s="3"/>
      <c r="E865" s="3"/>
      <c r="F865" s="5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7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FX865" s="3"/>
      <c r="FY865" s="3"/>
      <c r="FZ865" s="3"/>
      <c r="GA865" s="3"/>
      <c r="GB865" s="3"/>
      <c r="GC865" s="3"/>
      <c r="GD865" s="3"/>
      <c r="GE865" s="3"/>
      <c r="GF865" s="3"/>
      <c r="GG865" s="3"/>
      <c r="GH865" s="3"/>
      <c r="GI865" s="3"/>
      <c r="GJ865" s="3"/>
      <c r="GK865" s="3"/>
      <c r="GL865" s="3"/>
      <c r="GM865" s="3"/>
      <c r="GN865" s="3"/>
      <c r="GO865" s="3"/>
      <c r="GP865" s="3"/>
      <c r="GQ865" s="3"/>
      <c r="GR865" s="3"/>
      <c r="GS865" s="3"/>
      <c r="GT865" s="3"/>
      <c r="GU865" s="3"/>
      <c r="GV865" s="3"/>
      <c r="GW865" s="3"/>
      <c r="GX865" s="3"/>
      <c r="GY865" s="3"/>
      <c r="GZ865" s="3"/>
      <c r="HA865" s="3"/>
      <c r="HB865" s="3"/>
      <c r="HC865" s="3"/>
      <c r="HD865" s="3"/>
      <c r="HE865" s="3"/>
      <c r="HF865" s="3"/>
      <c r="HG865" s="3"/>
      <c r="HH865" s="3"/>
      <c r="HI865" s="3"/>
      <c r="HJ865" s="3"/>
      <c r="HK865" s="3"/>
      <c r="HL865" s="3"/>
      <c r="HM865" s="3"/>
      <c r="HN865" s="3"/>
      <c r="HO865" s="3"/>
      <c r="HP865" s="3"/>
      <c r="HQ865" s="3"/>
      <c r="HR865" s="3"/>
      <c r="HS865" s="3"/>
      <c r="HT865" s="3"/>
    </row>
    <row r="866">
      <c r="A866" s="14"/>
      <c r="B866" s="3"/>
      <c r="C866" s="3"/>
      <c r="D866" s="3"/>
      <c r="E866" s="3"/>
      <c r="F866" s="5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7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D866" s="3"/>
      <c r="GE866" s="3"/>
      <c r="GF866" s="3"/>
      <c r="GG866" s="3"/>
      <c r="GH866" s="3"/>
      <c r="GI866" s="3"/>
      <c r="GJ866" s="3"/>
      <c r="GK866" s="3"/>
      <c r="GL866" s="3"/>
      <c r="GM866" s="3"/>
      <c r="GN866" s="3"/>
      <c r="GO866" s="3"/>
      <c r="GP866" s="3"/>
      <c r="GQ866" s="3"/>
      <c r="GR866" s="3"/>
      <c r="GS866" s="3"/>
      <c r="GT866" s="3"/>
      <c r="GU866" s="3"/>
      <c r="GV866" s="3"/>
      <c r="GW866" s="3"/>
      <c r="GX866" s="3"/>
      <c r="GY866" s="3"/>
      <c r="GZ866" s="3"/>
      <c r="HA866" s="3"/>
      <c r="HB866" s="3"/>
      <c r="HC866" s="3"/>
      <c r="HD866" s="3"/>
      <c r="HE866" s="3"/>
      <c r="HF866" s="3"/>
      <c r="HG866" s="3"/>
      <c r="HH866" s="3"/>
      <c r="HI866" s="3"/>
      <c r="HJ866" s="3"/>
      <c r="HK866" s="3"/>
      <c r="HL866" s="3"/>
      <c r="HM866" s="3"/>
      <c r="HN866" s="3"/>
      <c r="HO866" s="3"/>
      <c r="HP866" s="3"/>
      <c r="HQ866" s="3"/>
      <c r="HR866" s="3"/>
      <c r="HS866" s="3"/>
      <c r="HT866" s="3"/>
    </row>
    <row r="867">
      <c r="A867" s="14"/>
      <c r="B867" s="3"/>
      <c r="C867" s="3"/>
      <c r="D867" s="3"/>
      <c r="E867" s="3"/>
      <c r="F867" s="5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7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3"/>
      <c r="FW867" s="3"/>
      <c r="FX867" s="3"/>
      <c r="FY867" s="3"/>
      <c r="FZ867" s="3"/>
      <c r="GA867" s="3"/>
      <c r="GB867" s="3"/>
      <c r="GC867" s="3"/>
      <c r="GD867" s="3"/>
      <c r="GE867" s="3"/>
      <c r="GF867" s="3"/>
      <c r="GG867" s="3"/>
      <c r="GH867" s="3"/>
      <c r="GI867" s="3"/>
      <c r="GJ867" s="3"/>
      <c r="GK867" s="3"/>
      <c r="GL867" s="3"/>
      <c r="GM867" s="3"/>
      <c r="GN867" s="3"/>
      <c r="GO867" s="3"/>
      <c r="GP867" s="3"/>
      <c r="GQ867" s="3"/>
      <c r="GR867" s="3"/>
      <c r="GS867" s="3"/>
      <c r="GT867" s="3"/>
      <c r="GU867" s="3"/>
      <c r="GV867" s="3"/>
      <c r="GW867" s="3"/>
      <c r="GX867" s="3"/>
      <c r="GY867" s="3"/>
      <c r="GZ867" s="3"/>
      <c r="HA867" s="3"/>
      <c r="HB867" s="3"/>
      <c r="HC867" s="3"/>
      <c r="HD867" s="3"/>
      <c r="HE867" s="3"/>
      <c r="HF867" s="3"/>
      <c r="HG867" s="3"/>
      <c r="HH867" s="3"/>
      <c r="HI867" s="3"/>
      <c r="HJ867" s="3"/>
      <c r="HK867" s="3"/>
      <c r="HL867" s="3"/>
      <c r="HM867" s="3"/>
      <c r="HN867" s="3"/>
      <c r="HO867" s="3"/>
      <c r="HP867" s="3"/>
      <c r="HQ867" s="3"/>
      <c r="HR867" s="3"/>
      <c r="HS867" s="3"/>
      <c r="HT867" s="3"/>
    </row>
    <row r="868">
      <c r="A868" s="14"/>
      <c r="B868" s="3"/>
      <c r="C868" s="3"/>
      <c r="D868" s="3"/>
      <c r="E868" s="3"/>
      <c r="F868" s="5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7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/>
      <c r="GB868" s="3"/>
      <c r="GC868" s="3"/>
      <c r="GD868" s="3"/>
      <c r="GE868" s="3"/>
      <c r="GF868" s="3"/>
      <c r="GG868" s="3"/>
      <c r="GH868" s="3"/>
      <c r="GI868" s="3"/>
      <c r="GJ868" s="3"/>
      <c r="GK868" s="3"/>
      <c r="GL868" s="3"/>
      <c r="GM868" s="3"/>
      <c r="GN868" s="3"/>
      <c r="GO868" s="3"/>
      <c r="GP868" s="3"/>
      <c r="GQ868" s="3"/>
      <c r="GR868" s="3"/>
      <c r="GS868" s="3"/>
      <c r="GT868" s="3"/>
      <c r="GU868" s="3"/>
      <c r="GV868" s="3"/>
      <c r="GW868" s="3"/>
      <c r="GX868" s="3"/>
      <c r="GY868" s="3"/>
      <c r="GZ868" s="3"/>
      <c r="HA868" s="3"/>
      <c r="HB868" s="3"/>
      <c r="HC868" s="3"/>
      <c r="HD868" s="3"/>
      <c r="HE868" s="3"/>
      <c r="HF868" s="3"/>
      <c r="HG868" s="3"/>
      <c r="HH868" s="3"/>
      <c r="HI868" s="3"/>
      <c r="HJ868" s="3"/>
      <c r="HK868" s="3"/>
      <c r="HL868" s="3"/>
      <c r="HM868" s="3"/>
      <c r="HN868" s="3"/>
      <c r="HO868" s="3"/>
      <c r="HP868" s="3"/>
      <c r="HQ868" s="3"/>
      <c r="HR868" s="3"/>
      <c r="HS868" s="3"/>
      <c r="HT868" s="3"/>
    </row>
    <row r="869">
      <c r="A869" s="14"/>
      <c r="B869" s="3"/>
      <c r="C869" s="3"/>
      <c r="D869" s="3"/>
      <c r="E869" s="3"/>
      <c r="F869" s="5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7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FX869" s="3"/>
      <c r="FY869" s="3"/>
      <c r="FZ869" s="3"/>
      <c r="GA869" s="3"/>
      <c r="GB869" s="3"/>
      <c r="GC869" s="3"/>
      <c r="GD869" s="3"/>
      <c r="GE869" s="3"/>
      <c r="GF869" s="3"/>
      <c r="GG869" s="3"/>
      <c r="GH869" s="3"/>
      <c r="GI869" s="3"/>
      <c r="GJ869" s="3"/>
      <c r="GK869" s="3"/>
      <c r="GL869" s="3"/>
      <c r="GM869" s="3"/>
      <c r="GN869" s="3"/>
      <c r="GO869" s="3"/>
      <c r="GP869" s="3"/>
      <c r="GQ869" s="3"/>
      <c r="GR869" s="3"/>
      <c r="GS869" s="3"/>
      <c r="GT869" s="3"/>
      <c r="GU869" s="3"/>
      <c r="GV869" s="3"/>
      <c r="GW869" s="3"/>
      <c r="GX869" s="3"/>
      <c r="GY869" s="3"/>
      <c r="GZ869" s="3"/>
      <c r="HA869" s="3"/>
      <c r="HB869" s="3"/>
      <c r="HC869" s="3"/>
      <c r="HD869" s="3"/>
      <c r="HE869" s="3"/>
      <c r="HF869" s="3"/>
      <c r="HG869" s="3"/>
      <c r="HH869" s="3"/>
      <c r="HI869" s="3"/>
      <c r="HJ869" s="3"/>
      <c r="HK869" s="3"/>
      <c r="HL869" s="3"/>
      <c r="HM869" s="3"/>
      <c r="HN869" s="3"/>
      <c r="HO869" s="3"/>
      <c r="HP869" s="3"/>
      <c r="HQ869" s="3"/>
      <c r="HR869" s="3"/>
      <c r="HS869" s="3"/>
      <c r="HT869" s="3"/>
    </row>
    <row r="870">
      <c r="A870" s="14"/>
      <c r="B870" s="3"/>
      <c r="C870" s="3"/>
      <c r="D870" s="3"/>
      <c r="E870" s="3"/>
      <c r="F870" s="5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7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/>
      <c r="GB870" s="3"/>
      <c r="GC870" s="3"/>
      <c r="GD870" s="3"/>
      <c r="GE870" s="3"/>
      <c r="GF870" s="3"/>
      <c r="GG870" s="3"/>
      <c r="GH870" s="3"/>
      <c r="GI870" s="3"/>
      <c r="GJ870" s="3"/>
      <c r="GK870" s="3"/>
      <c r="GL870" s="3"/>
      <c r="GM870" s="3"/>
      <c r="GN870" s="3"/>
      <c r="GO870" s="3"/>
      <c r="GP870" s="3"/>
      <c r="GQ870" s="3"/>
      <c r="GR870" s="3"/>
      <c r="GS870" s="3"/>
      <c r="GT870" s="3"/>
      <c r="GU870" s="3"/>
      <c r="GV870" s="3"/>
      <c r="GW870" s="3"/>
      <c r="GX870" s="3"/>
      <c r="GY870" s="3"/>
      <c r="GZ870" s="3"/>
      <c r="HA870" s="3"/>
      <c r="HB870" s="3"/>
      <c r="HC870" s="3"/>
      <c r="HD870" s="3"/>
      <c r="HE870" s="3"/>
      <c r="HF870" s="3"/>
      <c r="HG870" s="3"/>
      <c r="HH870" s="3"/>
      <c r="HI870" s="3"/>
      <c r="HJ870" s="3"/>
      <c r="HK870" s="3"/>
      <c r="HL870" s="3"/>
      <c r="HM870" s="3"/>
      <c r="HN870" s="3"/>
      <c r="HO870" s="3"/>
      <c r="HP870" s="3"/>
      <c r="HQ870" s="3"/>
      <c r="HR870" s="3"/>
      <c r="HS870" s="3"/>
      <c r="HT870" s="3"/>
    </row>
    <row r="871">
      <c r="A871" s="14"/>
      <c r="B871" s="3"/>
      <c r="C871" s="3"/>
      <c r="D871" s="3"/>
      <c r="E871" s="3"/>
      <c r="F871" s="5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7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FX871" s="3"/>
      <c r="FY871" s="3"/>
      <c r="FZ871" s="3"/>
      <c r="GA871" s="3"/>
      <c r="GB871" s="3"/>
      <c r="GC871" s="3"/>
      <c r="GD871" s="3"/>
      <c r="GE871" s="3"/>
      <c r="GF871" s="3"/>
      <c r="GG871" s="3"/>
      <c r="GH871" s="3"/>
      <c r="GI871" s="3"/>
      <c r="GJ871" s="3"/>
      <c r="GK871" s="3"/>
      <c r="GL871" s="3"/>
      <c r="GM871" s="3"/>
      <c r="GN871" s="3"/>
      <c r="GO871" s="3"/>
      <c r="GP871" s="3"/>
      <c r="GQ871" s="3"/>
      <c r="GR871" s="3"/>
      <c r="GS871" s="3"/>
      <c r="GT871" s="3"/>
      <c r="GU871" s="3"/>
      <c r="GV871" s="3"/>
      <c r="GW871" s="3"/>
      <c r="GX871" s="3"/>
      <c r="GY871" s="3"/>
      <c r="GZ871" s="3"/>
      <c r="HA871" s="3"/>
      <c r="HB871" s="3"/>
      <c r="HC871" s="3"/>
      <c r="HD871" s="3"/>
      <c r="HE871" s="3"/>
      <c r="HF871" s="3"/>
      <c r="HG871" s="3"/>
      <c r="HH871" s="3"/>
      <c r="HI871" s="3"/>
      <c r="HJ871" s="3"/>
      <c r="HK871" s="3"/>
      <c r="HL871" s="3"/>
      <c r="HM871" s="3"/>
      <c r="HN871" s="3"/>
      <c r="HO871" s="3"/>
      <c r="HP871" s="3"/>
      <c r="HQ871" s="3"/>
      <c r="HR871" s="3"/>
      <c r="HS871" s="3"/>
      <c r="HT871" s="3"/>
    </row>
    <row r="872">
      <c r="A872" s="14"/>
      <c r="B872" s="3"/>
      <c r="C872" s="3"/>
      <c r="D872" s="3"/>
      <c r="E872" s="3"/>
      <c r="F872" s="5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7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/>
      <c r="GF872" s="3"/>
      <c r="GG872" s="3"/>
      <c r="GH872" s="3"/>
      <c r="GI872" s="3"/>
      <c r="GJ872" s="3"/>
      <c r="GK872" s="3"/>
      <c r="GL872" s="3"/>
      <c r="GM872" s="3"/>
      <c r="GN872" s="3"/>
      <c r="GO872" s="3"/>
      <c r="GP872" s="3"/>
      <c r="GQ872" s="3"/>
      <c r="GR872" s="3"/>
      <c r="GS872" s="3"/>
      <c r="GT872" s="3"/>
      <c r="GU872" s="3"/>
      <c r="GV872" s="3"/>
      <c r="GW872" s="3"/>
      <c r="GX872" s="3"/>
      <c r="GY872" s="3"/>
      <c r="GZ872" s="3"/>
      <c r="HA872" s="3"/>
      <c r="HB872" s="3"/>
      <c r="HC872" s="3"/>
      <c r="HD872" s="3"/>
      <c r="HE872" s="3"/>
      <c r="HF872" s="3"/>
      <c r="HG872" s="3"/>
      <c r="HH872" s="3"/>
      <c r="HI872" s="3"/>
      <c r="HJ872" s="3"/>
      <c r="HK872" s="3"/>
      <c r="HL872" s="3"/>
      <c r="HM872" s="3"/>
      <c r="HN872" s="3"/>
      <c r="HO872" s="3"/>
      <c r="HP872" s="3"/>
      <c r="HQ872" s="3"/>
      <c r="HR872" s="3"/>
      <c r="HS872" s="3"/>
      <c r="HT872" s="3"/>
    </row>
    <row r="873">
      <c r="A873" s="14"/>
      <c r="B873" s="3"/>
      <c r="C873" s="3"/>
      <c r="D873" s="3"/>
      <c r="E873" s="3"/>
      <c r="F873" s="5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7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3"/>
      <c r="FW873" s="3"/>
      <c r="FX873" s="3"/>
      <c r="FY873" s="3"/>
      <c r="FZ873" s="3"/>
      <c r="GA873" s="3"/>
      <c r="GB873" s="3"/>
      <c r="GC873" s="3"/>
      <c r="GD873" s="3"/>
      <c r="GE873" s="3"/>
      <c r="GF873" s="3"/>
      <c r="GG873" s="3"/>
      <c r="GH873" s="3"/>
      <c r="GI873" s="3"/>
      <c r="GJ873" s="3"/>
      <c r="GK873" s="3"/>
      <c r="GL873" s="3"/>
      <c r="GM873" s="3"/>
      <c r="GN873" s="3"/>
      <c r="GO873" s="3"/>
      <c r="GP873" s="3"/>
      <c r="GQ873" s="3"/>
      <c r="GR873" s="3"/>
      <c r="GS873" s="3"/>
      <c r="GT873" s="3"/>
      <c r="GU873" s="3"/>
      <c r="GV873" s="3"/>
      <c r="GW873" s="3"/>
      <c r="GX873" s="3"/>
      <c r="GY873" s="3"/>
      <c r="GZ873" s="3"/>
      <c r="HA873" s="3"/>
      <c r="HB873" s="3"/>
      <c r="HC873" s="3"/>
      <c r="HD873" s="3"/>
      <c r="HE873" s="3"/>
      <c r="HF873" s="3"/>
      <c r="HG873" s="3"/>
      <c r="HH873" s="3"/>
      <c r="HI873" s="3"/>
      <c r="HJ873" s="3"/>
      <c r="HK873" s="3"/>
      <c r="HL873" s="3"/>
      <c r="HM873" s="3"/>
      <c r="HN873" s="3"/>
      <c r="HO873" s="3"/>
      <c r="HP873" s="3"/>
      <c r="HQ873" s="3"/>
      <c r="HR873" s="3"/>
      <c r="HS873" s="3"/>
      <c r="HT873" s="3"/>
    </row>
    <row r="874">
      <c r="A874" s="14"/>
      <c r="B874" s="3"/>
      <c r="C874" s="3"/>
      <c r="D874" s="3"/>
      <c r="E874" s="3"/>
      <c r="F874" s="5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7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/>
      <c r="GB874" s="3"/>
      <c r="GC874" s="3"/>
      <c r="GD874" s="3"/>
      <c r="GE874" s="3"/>
      <c r="GF874" s="3"/>
      <c r="GG874" s="3"/>
      <c r="GH874" s="3"/>
      <c r="GI874" s="3"/>
      <c r="GJ874" s="3"/>
      <c r="GK874" s="3"/>
      <c r="GL874" s="3"/>
      <c r="GM874" s="3"/>
      <c r="GN874" s="3"/>
      <c r="GO874" s="3"/>
      <c r="GP874" s="3"/>
      <c r="GQ874" s="3"/>
      <c r="GR874" s="3"/>
      <c r="GS874" s="3"/>
      <c r="GT874" s="3"/>
      <c r="GU874" s="3"/>
      <c r="GV874" s="3"/>
      <c r="GW874" s="3"/>
      <c r="GX874" s="3"/>
      <c r="GY874" s="3"/>
      <c r="GZ874" s="3"/>
      <c r="HA874" s="3"/>
      <c r="HB874" s="3"/>
      <c r="HC874" s="3"/>
      <c r="HD874" s="3"/>
      <c r="HE874" s="3"/>
      <c r="HF874" s="3"/>
      <c r="HG874" s="3"/>
      <c r="HH874" s="3"/>
      <c r="HI874" s="3"/>
      <c r="HJ874" s="3"/>
      <c r="HK874" s="3"/>
      <c r="HL874" s="3"/>
      <c r="HM874" s="3"/>
      <c r="HN874" s="3"/>
      <c r="HO874" s="3"/>
      <c r="HP874" s="3"/>
      <c r="HQ874" s="3"/>
      <c r="HR874" s="3"/>
      <c r="HS874" s="3"/>
      <c r="HT874" s="3"/>
    </row>
    <row r="875">
      <c r="A875" s="14"/>
      <c r="B875" s="3"/>
      <c r="C875" s="3"/>
      <c r="D875" s="3"/>
      <c r="E875" s="3"/>
      <c r="F875" s="5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7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  <c r="FZ875" s="3"/>
      <c r="GA875" s="3"/>
      <c r="GB875" s="3"/>
      <c r="GC875" s="3"/>
      <c r="GD875" s="3"/>
      <c r="GE875" s="3"/>
      <c r="GF875" s="3"/>
      <c r="GG875" s="3"/>
      <c r="GH875" s="3"/>
      <c r="GI875" s="3"/>
      <c r="GJ875" s="3"/>
      <c r="GK875" s="3"/>
      <c r="GL875" s="3"/>
      <c r="GM875" s="3"/>
      <c r="GN875" s="3"/>
      <c r="GO875" s="3"/>
      <c r="GP875" s="3"/>
      <c r="GQ875" s="3"/>
      <c r="GR875" s="3"/>
      <c r="GS875" s="3"/>
      <c r="GT875" s="3"/>
      <c r="GU875" s="3"/>
      <c r="GV875" s="3"/>
      <c r="GW875" s="3"/>
      <c r="GX875" s="3"/>
      <c r="GY875" s="3"/>
      <c r="GZ875" s="3"/>
      <c r="HA875" s="3"/>
      <c r="HB875" s="3"/>
      <c r="HC875" s="3"/>
      <c r="HD875" s="3"/>
      <c r="HE875" s="3"/>
      <c r="HF875" s="3"/>
      <c r="HG875" s="3"/>
      <c r="HH875" s="3"/>
      <c r="HI875" s="3"/>
      <c r="HJ875" s="3"/>
      <c r="HK875" s="3"/>
      <c r="HL875" s="3"/>
      <c r="HM875" s="3"/>
      <c r="HN875" s="3"/>
      <c r="HO875" s="3"/>
      <c r="HP875" s="3"/>
      <c r="HQ875" s="3"/>
      <c r="HR875" s="3"/>
      <c r="HS875" s="3"/>
      <c r="HT875" s="3"/>
    </row>
    <row r="876">
      <c r="A876" s="14"/>
      <c r="B876" s="3"/>
      <c r="C876" s="3"/>
      <c r="D876" s="3"/>
      <c r="E876" s="3"/>
      <c r="F876" s="5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7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/>
      <c r="GB876" s="3"/>
      <c r="GC876" s="3"/>
      <c r="GD876" s="3"/>
      <c r="GE876" s="3"/>
      <c r="GF876" s="3"/>
      <c r="GG876" s="3"/>
      <c r="GH876" s="3"/>
      <c r="GI876" s="3"/>
      <c r="GJ876" s="3"/>
      <c r="GK876" s="3"/>
      <c r="GL876" s="3"/>
      <c r="GM876" s="3"/>
      <c r="GN876" s="3"/>
      <c r="GO876" s="3"/>
      <c r="GP876" s="3"/>
      <c r="GQ876" s="3"/>
      <c r="GR876" s="3"/>
      <c r="GS876" s="3"/>
      <c r="GT876" s="3"/>
      <c r="GU876" s="3"/>
      <c r="GV876" s="3"/>
      <c r="GW876" s="3"/>
      <c r="GX876" s="3"/>
      <c r="GY876" s="3"/>
      <c r="GZ876" s="3"/>
      <c r="HA876" s="3"/>
      <c r="HB876" s="3"/>
      <c r="HC876" s="3"/>
      <c r="HD876" s="3"/>
      <c r="HE876" s="3"/>
      <c r="HF876" s="3"/>
      <c r="HG876" s="3"/>
      <c r="HH876" s="3"/>
      <c r="HI876" s="3"/>
      <c r="HJ876" s="3"/>
      <c r="HK876" s="3"/>
      <c r="HL876" s="3"/>
      <c r="HM876" s="3"/>
      <c r="HN876" s="3"/>
      <c r="HO876" s="3"/>
      <c r="HP876" s="3"/>
      <c r="HQ876" s="3"/>
      <c r="HR876" s="3"/>
      <c r="HS876" s="3"/>
      <c r="HT876" s="3"/>
    </row>
    <row r="877">
      <c r="A877" s="14"/>
      <c r="B877" s="3"/>
      <c r="C877" s="3"/>
      <c r="D877" s="3"/>
      <c r="E877" s="3"/>
      <c r="F877" s="5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7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FX877" s="3"/>
      <c r="FY877" s="3"/>
      <c r="FZ877" s="3"/>
      <c r="GA877" s="3"/>
      <c r="GB877" s="3"/>
      <c r="GC877" s="3"/>
      <c r="GD877" s="3"/>
      <c r="GE877" s="3"/>
      <c r="GF877" s="3"/>
      <c r="GG877" s="3"/>
      <c r="GH877" s="3"/>
      <c r="GI877" s="3"/>
      <c r="GJ877" s="3"/>
      <c r="GK877" s="3"/>
      <c r="GL877" s="3"/>
      <c r="GM877" s="3"/>
      <c r="GN877" s="3"/>
      <c r="GO877" s="3"/>
      <c r="GP877" s="3"/>
      <c r="GQ877" s="3"/>
      <c r="GR877" s="3"/>
      <c r="GS877" s="3"/>
      <c r="GT877" s="3"/>
      <c r="GU877" s="3"/>
      <c r="GV877" s="3"/>
      <c r="GW877" s="3"/>
      <c r="GX877" s="3"/>
      <c r="GY877" s="3"/>
      <c r="GZ877" s="3"/>
      <c r="HA877" s="3"/>
      <c r="HB877" s="3"/>
      <c r="HC877" s="3"/>
      <c r="HD877" s="3"/>
      <c r="HE877" s="3"/>
      <c r="HF877" s="3"/>
      <c r="HG877" s="3"/>
      <c r="HH877" s="3"/>
      <c r="HI877" s="3"/>
      <c r="HJ877" s="3"/>
      <c r="HK877" s="3"/>
      <c r="HL877" s="3"/>
      <c r="HM877" s="3"/>
      <c r="HN877" s="3"/>
      <c r="HO877" s="3"/>
      <c r="HP877" s="3"/>
      <c r="HQ877" s="3"/>
      <c r="HR877" s="3"/>
      <c r="HS877" s="3"/>
      <c r="HT877" s="3"/>
    </row>
    <row r="878">
      <c r="A878" s="14"/>
      <c r="B878" s="3"/>
      <c r="C878" s="3"/>
      <c r="D878" s="3"/>
      <c r="E878" s="3"/>
      <c r="F878" s="5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7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/>
      <c r="GB878" s="3"/>
      <c r="GC878" s="3"/>
      <c r="GD878" s="3"/>
      <c r="GE878" s="3"/>
      <c r="GF878" s="3"/>
      <c r="GG878" s="3"/>
      <c r="GH878" s="3"/>
      <c r="GI878" s="3"/>
      <c r="GJ878" s="3"/>
      <c r="GK878" s="3"/>
      <c r="GL878" s="3"/>
      <c r="GM878" s="3"/>
      <c r="GN878" s="3"/>
      <c r="GO878" s="3"/>
      <c r="GP878" s="3"/>
      <c r="GQ878" s="3"/>
      <c r="GR878" s="3"/>
      <c r="GS878" s="3"/>
      <c r="GT878" s="3"/>
      <c r="GU878" s="3"/>
      <c r="GV878" s="3"/>
      <c r="GW878" s="3"/>
      <c r="GX878" s="3"/>
      <c r="GY878" s="3"/>
      <c r="GZ878" s="3"/>
      <c r="HA878" s="3"/>
      <c r="HB878" s="3"/>
      <c r="HC878" s="3"/>
      <c r="HD878" s="3"/>
      <c r="HE878" s="3"/>
      <c r="HF878" s="3"/>
      <c r="HG878" s="3"/>
      <c r="HH878" s="3"/>
      <c r="HI878" s="3"/>
      <c r="HJ878" s="3"/>
      <c r="HK878" s="3"/>
      <c r="HL878" s="3"/>
      <c r="HM878" s="3"/>
      <c r="HN878" s="3"/>
      <c r="HO878" s="3"/>
      <c r="HP878" s="3"/>
      <c r="HQ878" s="3"/>
      <c r="HR878" s="3"/>
      <c r="HS878" s="3"/>
      <c r="HT878" s="3"/>
    </row>
    <row r="879">
      <c r="A879" s="14"/>
      <c r="B879" s="3"/>
      <c r="C879" s="3"/>
      <c r="D879" s="3"/>
      <c r="E879" s="3"/>
      <c r="F879" s="5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7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  <c r="FZ879" s="3"/>
      <c r="GA879" s="3"/>
      <c r="GB879" s="3"/>
      <c r="GC879" s="3"/>
      <c r="GD879" s="3"/>
      <c r="GE879" s="3"/>
      <c r="GF879" s="3"/>
      <c r="GG879" s="3"/>
      <c r="GH879" s="3"/>
      <c r="GI879" s="3"/>
      <c r="GJ879" s="3"/>
      <c r="GK879" s="3"/>
      <c r="GL879" s="3"/>
      <c r="GM879" s="3"/>
      <c r="GN879" s="3"/>
      <c r="GO879" s="3"/>
      <c r="GP879" s="3"/>
      <c r="GQ879" s="3"/>
      <c r="GR879" s="3"/>
      <c r="GS879" s="3"/>
      <c r="GT879" s="3"/>
      <c r="GU879" s="3"/>
      <c r="GV879" s="3"/>
      <c r="GW879" s="3"/>
      <c r="GX879" s="3"/>
      <c r="GY879" s="3"/>
      <c r="GZ879" s="3"/>
      <c r="HA879" s="3"/>
      <c r="HB879" s="3"/>
      <c r="HC879" s="3"/>
      <c r="HD879" s="3"/>
      <c r="HE879" s="3"/>
      <c r="HF879" s="3"/>
      <c r="HG879" s="3"/>
      <c r="HH879" s="3"/>
      <c r="HI879" s="3"/>
      <c r="HJ879" s="3"/>
      <c r="HK879" s="3"/>
      <c r="HL879" s="3"/>
      <c r="HM879" s="3"/>
      <c r="HN879" s="3"/>
      <c r="HO879" s="3"/>
      <c r="HP879" s="3"/>
      <c r="HQ879" s="3"/>
      <c r="HR879" s="3"/>
      <c r="HS879" s="3"/>
      <c r="HT879" s="3"/>
    </row>
    <row r="880">
      <c r="A880" s="14"/>
      <c r="B880" s="3"/>
      <c r="C880" s="3"/>
      <c r="D880" s="3"/>
      <c r="E880" s="3"/>
      <c r="F880" s="5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7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3"/>
      <c r="GG880" s="3"/>
      <c r="GH880" s="3"/>
      <c r="GI880" s="3"/>
      <c r="GJ880" s="3"/>
      <c r="GK880" s="3"/>
      <c r="GL880" s="3"/>
      <c r="GM880" s="3"/>
      <c r="GN880" s="3"/>
      <c r="GO880" s="3"/>
      <c r="GP880" s="3"/>
      <c r="GQ880" s="3"/>
      <c r="GR880" s="3"/>
      <c r="GS880" s="3"/>
      <c r="GT880" s="3"/>
      <c r="GU880" s="3"/>
      <c r="GV880" s="3"/>
      <c r="GW880" s="3"/>
      <c r="GX880" s="3"/>
      <c r="GY880" s="3"/>
      <c r="GZ880" s="3"/>
      <c r="HA880" s="3"/>
      <c r="HB880" s="3"/>
      <c r="HC880" s="3"/>
      <c r="HD880" s="3"/>
      <c r="HE880" s="3"/>
      <c r="HF880" s="3"/>
      <c r="HG880" s="3"/>
      <c r="HH880" s="3"/>
      <c r="HI880" s="3"/>
      <c r="HJ880" s="3"/>
      <c r="HK880" s="3"/>
      <c r="HL880" s="3"/>
      <c r="HM880" s="3"/>
      <c r="HN880" s="3"/>
      <c r="HO880" s="3"/>
      <c r="HP880" s="3"/>
      <c r="HQ880" s="3"/>
      <c r="HR880" s="3"/>
      <c r="HS880" s="3"/>
      <c r="HT880" s="3"/>
    </row>
    <row r="881">
      <c r="A881" s="14"/>
      <c r="B881" s="3"/>
      <c r="C881" s="3"/>
      <c r="D881" s="3"/>
      <c r="E881" s="3"/>
      <c r="F881" s="5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7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FX881" s="3"/>
      <c r="FY881" s="3"/>
      <c r="FZ881" s="3"/>
      <c r="GA881" s="3"/>
      <c r="GB881" s="3"/>
      <c r="GC881" s="3"/>
      <c r="GD881" s="3"/>
      <c r="GE881" s="3"/>
      <c r="GF881" s="3"/>
      <c r="GG881" s="3"/>
      <c r="GH881" s="3"/>
      <c r="GI881" s="3"/>
      <c r="GJ881" s="3"/>
      <c r="GK881" s="3"/>
      <c r="GL881" s="3"/>
      <c r="GM881" s="3"/>
      <c r="GN881" s="3"/>
      <c r="GO881" s="3"/>
      <c r="GP881" s="3"/>
      <c r="GQ881" s="3"/>
      <c r="GR881" s="3"/>
      <c r="GS881" s="3"/>
      <c r="GT881" s="3"/>
      <c r="GU881" s="3"/>
      <c r="GV881" s="3"/>
      <c r="GW881" s="3"/>
      <c r="GX881" s="3"/>
      <c r="GY881" s="3"/>
      <c r="GZ881" s="3"/>
      <c r="HA881" s="3"/>
      <c r="HB881" s="3"/>
      <c r="HC881" s="3"/>
      <c r="HD881" s="3"/>
      <c r="HE881" s="3"/>
      <c r="HF881" s="3"/>
      <c r="HG881" s="3"/>
      <c r="HH881" s="3"/>
      <c r="HI881" s="3"/>
      <c r="HJ881" s="3"/>
      <c r="HK881" s="3"/>
      <c r="HL881" s="3"/>
      <c r="HM881" s="3"/>
      <c r="HN881" s="3"/>
      <c r="HO881" s="3"/>
      <c r="HP881" s="3"/>
      <c r="HQ881" s="3"/>
      <c r="HR881" s="3"/>
      <c r="HS881" s="3"/>
      <c r="HT881" s="3"/>
    </row>
    <row r="882">
      <c r="A882" s="14"/>
      <c r="B882" s="3"/>
      <c r="C882" s="3"/>
      <c r="D882" s="3"/>
      <c r="E882" s="3"/>
      <c r="F882" s="5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7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/>
      <c r="GB882" s="3"/>
      <c r="GC882" s="3"/>
      <c r="GD882" s="3"/>
      <c r="GE882" s="3"/>
      <c r="GF882" s="3"/>
      <c r="GG882" s="3"/>
      <c r="GH882" s="3"/>
      <c r="GI882" s="3"/>
      <c r="GJ882" s="3"/>
      <c r="GK882" s="3"/>
      <c r="GL882" s="3"/>
      <c r="GM882" s="3"/>
      <c r="GN882" s="3"/>
      <c r="GO882" s="3"/>
      <c r="GP882" s="3"/>
      <c r="GQ882" s="3"/>
      <c r="GR882" s="3"/>
      <c r="GS882" s="3"/>
      <c r="GT882" s="3"/>
      <c r="GU882" s="3"/>
      <c r="GV882" s="3"/>
      <c r="GW882" s="3"/>
      <c r="GX882" s="3"/>
      <c r="GY882" s="3"/>
      <c r="GZ882" s="3"/>
      <c r="HA882" s="3"/>
      <c r="HB882" s="3"/>
      <c r="HC882" s="3"/>
      <c r="HD882" s="3"/>
      <c r="HE882" s="3"/>
      <c r="HF882" s="3"/>
      <c r="HG882" s="3"/>
      <c r="HH882" s="3"/>
      <c r="HI882" s="3"/>
      <c r="HJ882" s="3"/>
      <c r="HK882" s="3"/>
      <c r="HL882" s="3"/>
      <c r="HM882" s="3"/>
      <c r="HN882" s="3"/>
      <c r="HO882" s="3"/>
      <c r="HP882" s="3"/>
      <c r="HQ882" s="3"/>
      <c r="HR882" s="3"/>
      <c r="HS882" s="3"/>
      <c r="HT882" s="3"/>
    </row>
    <row r="883">
      <c r="A883" s="14"/>
      <c r="B883" s="3"/>
      <c r="C883" s="3"/>
      <c r="D883" s="3"/>
      <c r="E883" s="3"/>
      <c r="F883" s="5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7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3"/>
      <c r="FW883" s="3"/>
      <c r="FX883" s="3"/>
      <c r="FY883" s="3"/>
      <c r="FZ883" s="3"/>
      <c r="GA883" s="3"/>
      <c r="GB883" s="3"/>
      <c r="GC883" s="3"/>
      <c r="GD883" s="3"/>
      <c r="GE883" s="3"/>
      <c r="GF883" s="3"/>
      <c r="GG883" s="3"/>
      <c r="GH883" s="3"/>
      <c r="GI883" s="3"/>
      <c r="GJ883" s="3"/>
      <c r="GK883" s="3"/>
      <c r="GL883" s="3"/>
      <c r="GM883" s="3"/>
      <c r="GN883" s="3"/>
      <c r="GO883" s="3"/>
      <c r="GP883" s="3"/>
      <c r="GQ883" s="3"/>
      <c r="GR883" s="3"/>
      <c r="GS883" s="3"/>
      <c r="GT883" s="3"/>
      <c r="GU883" s="3"/>
      <c r="GV883" s="3"/>
      <c r="GW883" s="3"/>
      <c r="GX883" s="3"/>
      <c r="GY883" s="3"/>
      <c r="GZ883" s="3"/>
      <c r="HA883" s="3"/>
      <c r="HB883" s="3"/>
      <c r="HC883" s="3"/>
      <c r="HD883" s="3"/>
      <c r="HE883" s="3"/>
      <c r="HF883" s="3"/>
      <c r="HG883" s="3"/>
      <c r="HH883" s="3"/>
      <c r="HI883" s="3"/>
      <c r="HJ883" s="3"/>
      <c r="HK883" s="3"/>
      <c r="HL883" s="3"/>
      <c r="HM883" s="3"/>
      <c r="HN883" s="3"/>
      <c r="HO883" s="3"/>
      <c r="HP883" s="3"/>
      <c r="HQ883" s="3"/>
      <c r="HR883" s="3"/>
      <c r="HS883" s="3"/>
      <c r="HT883" s="3"/>
    </row>
    <row r="884">
      <c r="A884" s="14"/>
      <c r="B884" s="3"/>
      <c r="C884" s="3"/>
      <c r="D884" s="3"/>
      <c r="E884" s="3"/>
      <c r="F884" s="5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7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FX884" s="3"/>
      <c r="FY884" s="3"/>
      <c r="FZ884" s="3"/>
      <c r="GA884" s="3"/>
      <c r="GB884" s="3"/>
      <c r="GC884" s="3"/>
      <c r="GD884" s="3"/>
      <c r="GE884" s="3"/>
      <c r="GF884" s="3"/>
      <c r="GG884" s="3"/>
      <c r="GH884" s="3"/>
      <c r="GI884" s="3"/>
      <c r="GJ884" s="3"/>
      <c r="GK884" s="3"/>
      <c r="GL884" s="3"/>
      <c r="GM884" s="3"/>
      <c r="GN884" s="3"/>
      <c r="GO884" s="3"/>
      <c r="GP884" s="3"/>
      <c r="GQ884" s="3"/>
      <c r="GR884" s="3"/>
      <c r="GS884" s="3"/>
      <c r="GT884" s="3"/>
      <c r="GU884" s="3"/>
      <c r="GV884" s="3"/>
      <c r="GW884" s="3"/>
      <c r="GX884" s="3"/>
      <c r="GY884" s="3"/>
      <c r="GZ884" s="3"/>
      <c r="HA884" s="3"/>
      <c r="HB884" s="3"/>
      <c r="HC884" s="3"/>
      <c r="HD884" s="3"/>
      <c r="HE884" s="3"/>
      <c r="HF884" s="3"/>
      <c r="HG884" s="3"/>
      <c r="HH884" s="3"/>
      <c r="HI884" s="3"/>
      <c r="HJ884" s="3"/>
      <c r="HK884" s="3"/>
      <c r="HL884" s="3"/>
      <c r="HM884" s="3"/>
      <c r="HN884" s="3"/>
      <c r="HO884" s="3"/>
      <c r="HP884" s="3"/>
      <c r="HQ884" s="3"/>
      <c r="HR884" s="3"/>
      <c r="HS884" s="3"/>
      <c r="HT884" s="3"/>
    </row>
    <row r="885">
      <c r="A885" s="14"/>
      <c r="B885" s="3"/>
      <c r="C885" s="3"/>
      <c r="D885" s="3"/>
      <c r="E885" s="3"/>
      <c r="F885" s="5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7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3"/>
      <c r="FW885" s="3"/>
      <c r="FX885" s="3"/>
      <c r="FY885" s="3"/>
      <c r="FZ885" s="3"/>
      <c r="GA885" s="3"/>
      <c r="GB885" s="3"/>
      <c r="GC885" s="3"/>
      <c r="GD885" s="3"/>
      <c r="GE885" s="3"/>
      <c r="GF885" s="3"/>
      <c r="GG885" s="3"/>
      <c r="GH885" s="3"/>
      <c r="GI885" s="3"/>
      <c r="GJ885" s="3"/>
      <c r="GK885" s="3"/>
      <c r="GL885" s="3"/>
      <c r="GM885" s="3"/>
      <c r="GN885" s="3"/>
      <c r="GO885" s="3"/>
      <c r="GP885" s="3"/>
      <c r="GQ885" s="3"/>
      <c r="GR885" s="3"/>
      <c r="GS885" s="3"/>
      <c r="GT885" s="3"/>
      <c r="GU885" s="3"/>
      <c r="GV885" s="3"/>
      <c r="GW885" s="3"/>
      <c r="GX885" s="3"/>
      <c r="GY885" s="3"/>
      <c r="GZ885" s="3"/>
      <c r="HA885" s="3"/>
      <c r="HB885" s="3"/>
      <c r="HC885" s="3"/>
      <c r="HD885" s="3"/>
      <c r="HE885" s="3"/>
      <c r="HF885" s="3"/>
      <c r="HG885" s="3"/>
      <c r="HH885" s="3"/>
      <c r="HI885" s="3"/>
      <c r="HJ885" s="3"/>
      <c r="HK885" s="3"/>
      <c r="HL885" s="3"/>
      <c r="HM885" s="3"/>
      <c r="HN885" s="3"/>
      <c r="HO885" s="3"/>
      <c r="HP885" s="3"/>
      <c r="HQ885" s="3"/>
      <c r="HR885" s="3"/>
      <c r="HS885" s="3"/>
      <c r="HT885" s="3"/>
    </row>
    <row r="886">
      <c r="A886" s="14"/>
      <c r="B886" s="3"/>
      <c r="C886" s="3"/>
      <c r="D886" s="3"/>
      <c r="E886" s="3"/>
      <c r="F886" s="5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7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/>
      <c r="GB886" s="3"/>
      <c r="GC886" s="3"/>
      <c r="GD886" s="3"/>
      <c r="GE886" s="3"/>
      <c r="GF886" s="3"/>
      <c r="GG886" s="3"/>
      <c r="GH886" s="3"/>
      <c r="GI886" s="3"/>
      <c r="GJ886" s="3"/>
      <c r="GK886" s="3"/>
      <c r="GL886" s="3"/>
      <c r="GM886" s="3"/>
      <c r="GN886" s="3"/>
      <c r="GO886" s="3"/>
      <c r="GP886" s="3"/>
      <c r="GQ886" s="3"/>
      <c r="GR886" s="3"/>
      <c r="GS886" s="3"/>
      <c r="GT886" s="3"/>
      <c r="GU886" s="3"/>
      <c r="GV886" s="3"/>
      <c r="GW886" s="3"/>
      <c r="GX886" s="3"/>
      <c r="GY886" s="3"/>
      <c r="GZ886" s="3"/>
      <c r="HA886" s="3"/>
      <c r="HB886" s="3"/>
      <c r="HC886" s="3"/>
      <c r="HD886" s="3"/>
      <c r="HE886" s="3"/>
      <c r="HF886" s="3"/>
      <c r="HG886" s="3"/>
      <c r="HH886" s="3"/>
      <c r="HI886" s="3"/>
      <c r="HJ886" s="3"/>
      <c r="HK886" s="3"/>
      <c r="HL886" s="3"/>
      <c r="HM886" s="3"/>
      <c r="HN886" s="3"/>
      <c r="HO886" s="3"/>
      <c r="HP886" s="3"/>
      <c r="HQ886" s="3"/>
      <c r="HR886" s="3"/>
      <c r="HS886" s="3"/>
      <c r="HT886" s="3"/>
    </row>
    <row r="887">
      <c r="A887" s="14"/>
      <c r="B887" s="3"/>
      <c r="C887" s="3"/>
      <c r="D887" s="3"/>
      <c r="E887" s="3"/>
      <c r="F887" s="5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7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FX887" s="3"/>
      <c r="FY887" s="3"/>
      <c r="FZ887" s="3"/>
      <c r="GA887" s="3"/>
      <c r="GB887" s="3"/>
      <c r="GC887" s="3"/>
      <c r="GD887" s="3"/>
      <c r="GE887" s="3"/>
      <c r="GF887" s="3"/>
      <c r="GG887" s="3"/>
      <c r="GH887" s="3"/>
      <c r="GI887" s="3"/>
      <c r="GJ887" s="3"/>
      <c r="GK887" s="3"/>
      <c r="GL887" s="3"/>
      <c r="GM887" s="3"/>
      <c r="GN887" s="3"/>
      <c r="GO887" s="3"/>
      <c r="GP887" s="3"/>
      <c r="GQ887" s="3"/>
      <c r="GR887" s="3"/>
      <c r="GS887" s="3"/>
      <c r="GT887" s="3"/>
      <c r="GU887" s="3"/>
      <c r="GV887" s="3"/>
      <c r="GW887" s="3"/>
      <c r="GX887" s="3"/>
      <c r="GY887" s="3"/>
      <c r="GZ887" s="3"/>
      <c r="HA887" s="3"/>
      <c r="HB887" s="3"/>
      <c r="HC887" s="3"/>
      <c r="HD887" s="3"/>
      <c r="HE887" s="3"/>
      <c r="HF887" s="3"/>
      <c r="HG887" s="3"/>
      <c r="HH887" s="3"/>
      <c r="HI887" s="3"/>
      <c r="HJ887" s="3"/>
      <c r="HK887" s="3"/>
      <c r="HL887" s="3"/>
      <c r="HM887" s="3"/>
      <c r="HN887" s="3"/>
      <c r="HO887" s="3"/>
      <c r="HP887" s="3"/>
      <c r="HQ887" s="3"/>
      <c r="HR887" s="3"/>
      <c r="HS887" s="3"/>
      <c r="HT887" s="3"/>
    </row>
    <row r="888">
      <c r="A888" s="14"/>
      <c r="B888" s="3"/>
      <c r="C888" s="3"/>
      <c r="D888" s="3"/>
      <c r="E888" s="3"/>
      <c r="F888" s="5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7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3"/>
      <c r="GG888" s="3"/>
      <c r="GH888" s="3"/>
      <c r="GI888" s="3"/>
      <c r="GJ888" s="3"/>
      <c r="GK888" s="3"/>
      <c r="GL888" s="3"/>
      <c r="GM888" s="3"/>
      <c r="GN888" s="3"/>
      <c r="GO888" s="3"/>
      <c r="GP888" s="3"/>
      <c r="GQ888" s="3"/>
      <c r="GR888" s="3"/>
      <c r="GS888" s="3"/>
      <c r="GT888" s="3"/>
      <c r="GU888" s="3"/>
      <c r="GV888" s="3"/>
      <c r="GW888" s="3"/>
      <c r="GX888" s="3"/>
      <c r="GY888" s="3"/>
      <c r="GZ888" s="3"/>
      <c r="HA888" s="3"/>
      <c r="HB888" s="3"/>
      <c r="HC888" s="3"/>
      <c r="HD888" s="3"/>
      <c r="HE888" s="3"/>
      <c r="HF888" s="3"/>
      <c r="HG888" s="3"/>
      <c r="HH888" s="3"/>
      <c r="HI888" s="3"/>
      <c r="HJ888" s="3"/>
      <c r="HK888" s="3"/>
      <c r="HL888" s="3"/>
      <c r="HM888" s="3"/>
      <c r="HN888" s="3"/>
      <c r="HO888" s="3"/>
      <c r="HP888" s="3"/>
      <c r="HQ888" s="3"/>
      <c r="HR888" s="3"/>
      <c r="HS888" s="3"/>
      <c r="HT888" s="3"/>
    </row>
    <row r="889">
      <c r="A889" s="14"/>
      <c r="B889" s="3"/>
      <c r="C889" s="3"/>
      <c r="D889" s="3"/>
      <c r="E889" s="3"/>
      <c r="F889" s="5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7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3"/>
      <c r="FW889" s="3"/>
      <c r="FX889" s="3"/>
      <c r="FY889" s="3"/>
      <c r="FZ889" s="3"/>
      <c r="GA889" s="3"/>
      <c r="GB889" s="3"/>
      <c r="GC889" s="3"/>
      <c r="GD889" s="3"/>
      <c r="GE889" s="3"/>
      <c r="GF889" s="3"/>
      <c r="GG889" s="3"/>
      <c r="GH889" s="3"/>
      <c r="GI889" s="3"/>
      <c r="GJ889" s="3"/>
      <c r="GK889" s="3"/>
      <c r="GL889" s="3"/>
      <c r="GM889" s="3"/>
      <c r="GN889" s="3"/>
      <c r="GO889" s="3"/>
      <c r="GP889" s="3"/>
      <c r="GQ889" s="3"/>
      <c r="GR889" s="3"/>
      <c r="GS889" s="3"/>
      <c r="GT889" s="3"/>
      <c r="GU889" s="3"/>
      <c r="GV889" s="3"/>
      <c r="GW889" s="3"/>
      <c r="GX889" s="3"/>
      <c r="GY889" s="3"/>
      <c r="GZ889" s="3"/>
      <c r="HA889" s="3"/>
      <c r="HB889" s="3"/>
      <c r="HC889" s="3"/>
      <c r="HD889" s="3"/>
      <c r="HE889" s="3"/>
      <c r="HF889" s="3"/>
      <c r="HG889" s="3"/>
      <c r="HH889" s="3"/>
      <c r="HI889" s="3"/>
      <c r="HJ889" s="3"/>
      <c r="HK889" s="3"/>
      <c r="HL889" s="3"/>
      <c r="HM889" s="3"/>
      <c r="HN889" s="3"/>
      <c r="HO889" s="3"/>
      <c r="HP889" s="3"/>
      <c r="HQ889" s="3"/>
      <c r="HR889" s="3"/>
      <c r="HS889" s="3"/>
      <c r="HT889" s="3"/>
    </row>
    <row r="890">
      <c r="A890" s="14"/>
      <c r="B890" s="3"/>
      <c r="C890" s="3"/>
      <c r="D890" s="3"/>
      <c r="E890" s="3"/>
      <c r="F890" s="5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7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3"/>
      <c r="FU890" s="3"/>
      <c r="FV890" s="3"/>
      <c r="FW890" s="3"/>
      <c r="FX890" s="3"/>
      <c r="FY890" s="3"/>
      <c r="FZ890" s="3"/>
      <c r="GA890" s="3"/>
      <c r="GB890" s="3"/>
      <c r="GC890" s="3"/>
      <c r="GD890" s="3"/>
      <c r="GE890" s="3"/>
      <c r="GF890" s="3"/>
      <c r="GG890" s="3"/>
      <c r="GH890" s="3"/>
      <c r="GI890" s="3"/>
      <c r="GJ890" s="3"/>
      <c r="GK890" s="3"/>
      <c r="GL890" s="3"/>
      <c r="GM890" s="3"/>
      <c r="GN890" s="3"/>
      <c r="GO890" s="3"/>
      <c r="GP890" s="3"/>
      <c r="GQ890" s="3"/>
      <c r="GR890" s="3"/>
      <c r="GS890" s="3"/>
      <c r="GT890" s="3"/>
      <c r="GU890" s="3"/>
      <c r="GV890" s="3"/>
      <c r="GW890" s="3"/>
      <c r="GX890" s="3"/>
      <c r="GY890" s="3"/>
      <c r="GZ890" s="3"/>
      <c r="HA890" s="3"/>
      <c r="HB890" s="3"/>
      <c r="HC890" s="3"/>
      <c r="HD890" s="3"/>
      <c r="HE890" s="3"/>
      <c r="HF890" s="3"/>
      <c r="HG890" s="3"/>
      <c r="HH890" s="3"/>
      <c r="HI890" s="3"/>
      <c r="HJ890" s="3"/>
      <c r="HK890" s="3"/>
      <c r="HL890" s="3"/>
      <c r="HM890" s="3"/>
      <c r="HN890" s="3"/>
      <c r="HO890" s="3"/>
      <c r="HP890" s="3"/>
      <c r="HQ890" s="3"/>
      <c r="HR890" s="3"/>
      <c r="HS890" s="3"/>
      <c r="HT890" s="3"/>
    </row>
    <row r="891">
      <c r="A891" s="14"/>
      <c r="B891" s="3"/>
      <c r="C891" s="3"/>
      <c r="D891" s="3"/>
      <c r="E891" s="3"/>
      <c r="F891" s="5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7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3"/>
      <c r="FW891" s="3"/>
      <c r="FX891" s="3"/>
      <c r="FY891" s="3"/>
      <c r="FZ891" s="3"/>
      <c r="GA891" s="3"/>
      <c r="GB891" s="3"/>
      <c r="GC891" s="3"/>
      <c r="GD891" s="3"/>
      <c r="GE891" s="3"/>
      <c r="GF891" s="3"/>
      <c r="GG891" s="3"/>
      <c r="GH891" s="3"/>
      <c r="GI891" s="3"/>
      <c r="GJ891" s="3"/>
      <c r="GK891" s="3"/>
      <c r="GL891" s="3"/>
      <c r="GM891" s="3"/>
      <c r="GN891" s="3"/>
      <c r="GO891" s="3"/>
      <c r="GP891" s="3"/>
      <c r="GQ891" s="3"/>
      <c r="GR891" s="3"/>
      <c r="GS891" s="3"/>
      <c r="GT891" s="3"/>
      <c r="GU891" s="3"/>
      <c r="GV891" s="3"/>
      <c r="GW891" s="3"/>
      <c r="GX891" s="3"/>
      <c r="GY891" s="3"/>
      <c r="GZ891" s="3"/>
      <c r="HA891" s="3"/>
      <c r="HB891" s="3"/>
      <c r="HC891" s="3"/>
      <c r="HD891" s="3"/>
      <c r="HE891" s="3"/>
      <c r="HF891" s="3"/>
      <c r="HG891" s="3"/>
      <c r="HH891" s="3"/>
      <c r="HI891" s="3"/>
      <c r="HJ891" s="3"/>
      <c r="HK891" s="3"/>
      <c r="HL891" s="3"/>
      <c r="HM891" s="3"/>
      <c r="HN891" s="3"/>
      <c r="HO891" s="3"/>
      <c r="HP891" s="3"/>
      <c r="HQ891" s="3"/>
      <c r="HR891" s="3"/>
      <c r="HS891" s="3"/>
      <c r="HT891" s="3"/>
    </row>
    <row r="892">
      <c r="A892" s="14"/>
      <c r="B892" s="3"/>
      <c r="C892" s="3"/>
      <c r="D892" s="3"/>
      <c r="E892" s="3"/>
      <c r="F892" s="5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7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3"/>
      <c r="FW892" s="3"/>
      <c r="FX892" s="3"/>
      <c r="FY892" s="3"/>
      <c r="FZ892" s="3"/>
      <c r="GA892" s="3"/>
      <c r="GB892" s="3"/>
      <c r="GC892" s="3"/>
      <c r="GD892" s="3"/>
      <c r="GE892" s="3"/>
      <c r="GF892" s="3"/>
      <c r="GG892" s="3"/>
      <c r="GH892" s="3"/>
      <c r="GI892" s="3"/>
      <c r="GJ892" s="3"/>
      <c r="GK892" s="3"/>
      <c r="GL892" s="3"/>
      <c r="GM892" s="3"/>
      <c r="GN892" s="3"/>
      <c r="GO892" s="3"/>
      <c r="GP892" s="3"/>
      <c r="GQ892" s="3"/>
      <c r="GR892" s="3"/>
      <c r="GS892" s="3"/>
      <c r="GT892" s="3"/>
      <c r="GU892" s="3"/>
      <c r="GV892" s="3"/>
      <c r="GW892" s="3"/>
      <c r="GX892" s="3"/>
      <c r="GY892" s="3"/>
      <c r="GZ892" s="3"/>
      <c r="HA892" s="3"/>
      <c r="HB892" s="3"/>
      <c r="HC892" s="3"/>
      <c r="HD892" s="3"/>
      <c r="HE892" s="3"/>
      <c r="HF892" s="3"/>
      <c r="HG892" s="3"/>
      <c r="HH892" s="3"/>
      <c r="HI892" s="3"/>
      <c r="HJ892" s="3"/>
      <c r="HK892" s="3"/>
      <c r="HL892" s="3"/>
      <c r="HM892" s="3"/>
      <c r="HN892" s="3"/>
      <c r="HO892" s="3"/>
      <c r="HP892" s="3"/>
      <c r="HQ892" s="3"/>
      <c r="HR892" s="3"/>
      <c r="HS892" s="3"/>
      <c r="HT892" s="3"/>
    </row>
    <row r="893">
      <c r="A893" s="14"/>
      <c r="B893" s="3"/>
      <c r="C893" s="3"/>
      <c r="D893" s="3"/>
      <c r="E893" s="3"/>
      <c r="F893" s="5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7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3"/>
      <c r="FW893" s="3"/>
      <c r="FX893" s="3"/>
      <c r="FY893" s="3"/>
      <c r="FZ893" s="3"/>
      <c r="GA893" s="3"/>
      <c r="GB893" s="3"/>
      <c r="GC893" s="3"/>
      <c r="GD893" s="3"/>
      <c r="GE893" s="3"/>
      <c r="GF893" s="3"/>
      <c r="GG893" s="3"/>
      <c r="GH893" s="3"/>
      <c r="GI893" s="3"/>
      <c r="GJ893" s="3"/>
      <c r="GK893" s="3"/>
      <c r="GL893" s="3"/>
      <c r="GM893" s="3"/>
      <c r="GN893" s="3"/>
      <c r="GO893" s="3"/>
      <c r="GP893" s="3"/>
      <c r="GQ893" s="3"/>
      <c r="GR893" s="3"/>
      <c r="GS893" s="3"/>
      <c r="GT893" s="3"/>
      <c r="GU893" s="3"/>
      <c r="GV893" s="3"/>
      <c r="GW893" s="3"/>
      <c r="GX893" s="3"/>
      <c r="GY893" s="3"/>
      <c r="GZ893" s="3"/>
      <c r="HA893" s="3"/>
      <c r="HB893" s="3"/>
      <c r="HC893" s="3"/>
      <c r="HD893" s="3"/>
      <c r="HE893" s="3"/>
      <c r="HF893" s="3"/>
      <c r="HG893" s="3"/>
      <c r="HH893" s="3"/>
      <c r="HI893" s="3"/>
      <c r="HJ893" s="3"/>
      <c r="HK893" s="3"/>
      <c r="HL893" s="3"/>
      <c r="HM893" s="3"/>
      <c r="HN893" s="3"/>
      <c r="HO893" s="3"/>
      <c r="HP893" s="3"/>
      <c r="HQ893" s="3"/>
      <c r="HR893" s="3"/>
      <c r="HS893" s="3"/>
      <c r="HT893" s="3"/>
    </row>
    <row r="894">
      <c r="A894" s="14"/>
      <c r="B894" s="3"/>
      <c r="C894" s="3"/>
      <c r="D894" s="3"/>
      <c r="E894" s="3"/>
      <c r="F894" s="5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7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3"/>
      <c r="FW894" s="3"/>
      <c r="FX894" s="3"/>
      <c r="FY894" s="3"/>
      <c r="FZ894" s="3"/>
      <c r="GA894" s="3"/>
      <c r="GB894" s="3"/>
      <c r="GC894" s="3"/>
      <c r="GD894" s="3"/>
      <c r="GE894" s="3"/>
      <c r="GF894" s="3"/>
      <c r="GG894" s="3"/>
      <c r="GH894" s="3"/>
      <c r="GI894" s="3"/>
      <c r="GJ894" s="3"/>
      <c r="GK894" s="3"/>
      <c r="GL894" s="3"/>
      <c r="GM894" s="3"/>
      <c r="GN894" s="3"/>
      <c r="GO894" s="3"/>
      <c r="GP894" s="3"/>
      <c r="GQ894" s="3"/>
      <c r="GR894" s="3"/>
      <c r="GS894" s="3"/>
      <c r="GT894" s="3"/>
      <c r="GU894" s="3"/>
      <c r="GV894" s="3"/>
      <c r="GW894" s="3"/>
      <c r="GX894" s="3"/>
      <c r="GY894" s="3"/>
      <c r="GZ894" s="3"/>
      <c r="HA894" s="3"/>
      <c r="HB894" s="3"/>
      <c r="HC894" s="3"/>
      <c r="HD894" s="3"/>
      <c r="HE894" s="3"/>
      <c r="HF894" s="3"/>
      <c r="HG894" s="3"/>
      <c r="HH894" s="3"/>
      <c r="HI894" s="3"/>
      <c r="HJ894" s="3"/>
      <c r="HK894" s="3"/>
      <c r="HL894" s="3"/>
      <c r="HM894" s="3"/>
      <c r="HN894" s="3"/>
      <c r="HO894" s="3"/>
      <c r="HP894" s="3"/>
      <c r="HQ894" s="3"/>
      <c r="HR894" s="3"/>
      <c r="HS894" s="3"/>
      <c r="HT894" s="3"/>
    </row>
    <row r="895">
      <c r="A895" s="14"/>
      <c r="B895" s="3"/>
      <c r="C895" s="3"/>
      <c r="D895" s="3"/>
      <c r="E895" s="3"/>
      <c r="F895" s="5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7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3"/>
      <c r="FU895" s="3"/>
      <c r="FV895" s="3"/>
      <c r="FW895" s="3"/>
      <c r="FX895" s="3"/>
      <c r="FY895" s="3"/>
      <c r="FZ895" s="3"/>
      <c r="GA895" s="3"/>
      <c r="GB895" s="3"/>
      <c r="GC895" s="3"/>
      <c r="GD895" s="3"/>
      <c r="GE895" s="3"/>
      <c r="GF895" s="3"/>
      <c r="GG895" s="3"/>
      <c r="GH895" s="3"/>
      <c r="GI895" s="3"/>
      <c r="GJ895" s="3"/>
      <c r="GK895" s="3"/>
      <c r="GL895" s="3"/>
      <c r="GM895" s="3"/>
      <c r="GN895" s="3"/>
      <c r="GO895" s="3"/>
      <c r="GP895" s="3"/>
      <c r="GQ895" s="3"/>
      <c r="GR895" s="3"/>
      <c r="GS895" s="3"/>
      <c r="GT895" s="3"/>
      <c r="GU895" s="3"/>
      <c r="GV895" s="3"/>
      <c r="GW895" s="3"/>
      <c r="GX895" s="3"/>
      <c r="GY895" s="3"/>
      <c r="GZ895" s="3"/>
      <c r="HA895" s="3"/>
      <c r="HB895" s="3"/>
      <c r="HC895" s="3"/>
      <c r="HD895" s="3"/>
      <c r="HE895" s="3"/>
      <c r="HF895" s="3"/>
      <c r="HG895" s="3"/>
      <c r="HH895" s="3"/>
      <c r="HI895" s="3"/>
      <c r="HJ895" s="3"/>
      <c r="HK895" s="3"/>
      <c r="HL895" s="3"/>
      <c r="HM895" s="3"/>
      <c r="HN895" s="3"/>
      <c r="HO895" s="3"/>
      <c r="HP895" s="3"/>
      <c r="HQ895" s="3"/>
      <c r="HR895" s="3"/>
      <c r="HS895" s="3"/>
      <c r="HT895" s="3"/>
    </row>
    <row r="896">
      <c r="A896" s="14"/>
      <c r="B896" s="3"/>
      <c r="C896" s="3"/>
      <c r="D896" s="3"/>
      <c r="E896" s="3"/>
      <c r="F896" s="5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7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D896" s="3"/>
      <c r="GE896" s="3"/>
      <c r="GF896" s="3"/>
      <c r="GG896" s="3"/>
      <c r="GH896" s="3"/>
      <c r="GI896" s="3"/>
      <c r="GJ896" s="3"/>
      <c r="GK896" s="3"/>
      <c r="GL896" s="3"/>
      <c r="GM896" s="3"/>
      <c r="GN896" s="3"/>
      <c r="GO896" s="3"/>
      <c r="GP896" s="3"/>
      <c r="GQ896" s="3"/>
      <c r="GR896" s="3"/>
      <c r="GS896" s="3"/>
      <c r="GT896" s="3"/>
      <c r="GU896" s="3"/>
      <c r="GV896" s="3"/>
      <c r="GW896" s="3"/>
      <c r="GX896" s="3"/>
      <c r="GY896" s="3"/>
      <c r="GZ896" s="3"/>
      <c r="HA896" s="3"/>
      <c r="HB896" s="3"/>
      <c r="HC896" s="3"/>
      <c r="HD896" s="3"/>
      <c r="HE896" s="3"/>
      <c r="HF896" s="3"/>
      <c r="HG896" s="3"/>
      <c r="HH896" s="3"/>
      <c r="HI896" s="3"/>
      <c r="HJ896" s="3"/>
      <c r="HK896" s="3"/>
      <c r="HL896" s="3"/>
      <c r="HM896" s="3"/>
      <c r="HN896" s="3"/>
      <c r="HO896" s="3"/>
      <c r="HP896" s="3"/>
      <c r="HQ896" s="3"/>
      <c r="HR896" s="3"/>
      <c r="HS896" s="3"/>
      <c r="HT896" s="3"/>
    </row>
    <row r="897">
      <c r="A897" s="14"/>
      <c r="B897" s="3"/>
      <c r="C897" s="3"/>
      <c r="D897" s="3"/>
      <c r="E897" s="3"/>
      <c r="F897" s="5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7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3"/>
      <c r="FW897" s="3"/>
      <c r="FX897" s="3"/>
      <c r="FY897" s="3"/>
      <c r="FZ897" s="3"/>
      <c r="GA897" s="3"/>
      <c r="GB897" s="3"/>
      <c r="GC897" s="3"/>
      <c r="GD897" s="3"/>
      <c r="GE897" s="3"/>
      <c r="GF897" s="3"/>
      <c r="GG897" s="3"/>
      <c r="GH897" s="3"/>
      <c r="GI897" s="3"/>
      <c r="GJ897" s="3"/>
      <c r="GK897" s="3"/>
      <c r="GL897" s="3"/>
      <c r="GM897" s="3"/>
      <c r="GN897" s="3"/>
      <c r="GO897" s="3"/>
      <c r="GP897" s="3"/>
      <c r="GQ897" s="3"/>
      <c r="GR897" s="3"/>
      <c r="GS897" s="3"/>
      <c r="GT897" s="3"/>
      <c r="GU897" s="3"/>
      <c r="GV897" s="3"/>
      <c r="GW897" s="3"/>
      <c r="GX897" s="3"/>
      <c r="GY897" s="3"/>
      <c r="GZ897" s="3"/>
      <c r="HA897" s="3"/>
      <c r="HB897" s="3"/>
      <c r="HC897" s="3"/>
      <c r="HD897" s="3"/>
      <c r="HE897" s="3"/>
      <c r="HF897" s="3"/>
      <c r="HG897" s="3"/>
      <c r="HH897" s="3"/>
      <c r="HI897" s="3"/>
      <c r="HJ897" s="3"/>
      <c r="HK897" s="3"/>
      <c r="HL897" s="3"/>
      <c r="HM897" s="3"/>
      <c r="HN897" s="3"/>
      <c r="HO897" s="3"/>
      <c r="HP897" s="3"/>
      <c r="HQ897" s="3"/>
      <c r="HR897" s="3"/>
      <c r="HS897" s="3"/>
      <c r="HT897" s="3"/>
    </row>
    <row r="898">
      <c r="A898" s="14"/>
      <c r="B898" s="3"/>
      <c r="C898" s="3"/>
      <c r="D898" s="3"/>
      <c r="E898" s="3"/>
      <c r="F898" s="5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7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3"/>
      <c r="FW898" s="3"/>
      <c r="FX898" s="3"/>
      <c r="FY898" s="3"/>
      <c r="FZ898" s="3"/>
      <c r="GA898" s="3"/>
      <c r="GB898" s="3"/>
      <c r="GC898" s="3"/>
      <c r="GD898" s="3"/>
      <c r="GE898" s="3"/>
      <c r="GF898" s="3"/>
      <c r="GG898" s="3"/>
      <c r="GH898" s="3"/>
      <c r="GI898" s="3"/>
      <c r="GJ898" s="3"/>
      <c r="GK898" s="3"/>
      <c r="GL898" s="3"/>
      <c r="GM898" s="3"/>
      <c r="GN898" s="3"/>
      <c r="GO898" s="3"/>
      <c r="GP898" s="3"/>
      <c r="GQ898" s="3"/>
      <c r="GR898" s="3"/>
      <c r="GS898" s="3"/>
      <c r="GT898" s="3"/>
      <c r="GU898" s="3"/>
      <c r="GV898" s="3"/>
      <c r="GW898" s="3"/>
      <c r="GX898" s="3"/>
      <c r="GY898" s="3"/>
      <c r="GZ898" s="3"/>
      <c r="HA898" s="3"/>
      <c r="HB898" s="3"/>
      <c r="HC898" s="3"/>
      <c r="HD898" s="3"/>
      <c r="HE898" s="3"/>
      <c r="HF898" s="3"/>
      <c r="HG898" s="3"/>
      <c r="HH898" s="3"/>
      <c r="HI898" s="3"/>
      <c r="HJ898" s="3"/>
      <c r="HK898" s="3"/>
      <c r="HL898" s="3"/>
      <c r="HM898" s="3"/>
      <c r="HN898" s="3"/>
      <c r="HO898" s="3"/>
      <c r="HP898" s="3"/>
      <c r="HQ898" s="3"/>
      <c r="HR898" s="3"/>
      <c r="HS898" s="3"/>
      <c r="HT898" s="3"/>
    </row>
    <row r="899">
      <c r="A899" s="14"/>
      <c r="B899" s="3"/>
      <c r="C899" s="3"/>
      <c r="D899" s="3"/>
      <c r="E899" s="3"/>
      <c r="F899" s="5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7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3"/>
      <c r="FU899" s="3"/>
      <c r="FV899" s="3"/>
      <c r="FW899" s="3"/>
      <c r="FX899" s="3"/>
      <c r="FY899" s="3"/>
      <c r="FZ899" s="3"/>
      <c r="GA899" s="3"/>
      <c r="GB899" s="3"/>
      <c r="GC899" s="3"/>
      <c r="GD899" s="3"/>
      <c r="GE899" s="3"/>
      <c r="GF899" s="3"/>
      <c r="GG899" s="3"/>
      <c r="GH899" s="3"/>
      <c r="GI899" s="3"/>
      <c r="GJ899" s="3"/>
      <c r="GK899" s="3"/>
      <c r="GL899" s="3"/>
      <c r="GM899" s="3"/>
      <c r="GN899" s="3"/>
      <c r="GO899" s="3"/>
      <c r="GP899" s="3"/>
      <c r="GQ899" s="3"/>
      <c r="GR899" s="3"/>
      <c r="GS899" s="3"/>
      <c r="GT899" s="3"/>
      <c r="GU899" s="3"/>
      <c r="GV899" s="3"/>
      <c r="GW899" s="3"/>
      <c r="GX899" s="3"/>
      <c r="GY899" s="3"/>
      <c r="GZ899" s="3"/>
      <c r="HA899" s="3"/>
      <c r="HB899" s="3"/>
      <c r="HC899" s="3"/>
      <c r="HD899" s="3"/>
      <c r="HE899" s="3"/>
      <c r="HF899" s="3"/>
      <c r="HG899" s="3"/>
      <c r="HH899" s="3"/>
      <c r="HI899" s="3"/>
      <c r="HJ899" s="3"/>
      <c r="HK899" s="3"/>
      <c r="HL899" s="3"/>
      <c r="HM899" s="3"/>
      <c r="HN899" s="3"/>
      <c r="HO899" s="3"/>
      <c r="HP899" s="3"/>
      <c r="HQ899" s="3"/>
      <c r="HR899" s="3"/>
      <c r="HS899" s="3"/>
      <c r="HT899" s="3"/>
    </row>
    <row r="900">
      <c r="A900" s="14"/>
      <c r="B900" s="3"/>
      <c r="C900" s="3"/>
      <c r="D900" s="3"/>
      <c r="E900" s="3"/>
      <c r="F900" s="5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7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3"/>
      <c r="FW900" s="3"/>
      <c r="FX900" s="3"/>
      <c r="FY900" s="3"/>
      <c r="FZ900" s="3"/>
      <c r="GA900" s="3"/>
      <c r="GB900" s="3"/>
      <c r="GC900" s="3"/>
      <c r="GD900" s="3"/>
      <c r="GE900" s="3"/>
      <c r="GF900" s="3"/>
      <c r="GG900" s="3"/>
      <c r="GH900" s="3"/>
      <c r="GI900" s="3"/>
      <c r="GJ900" s="3"/>
      <c r="GK900" s="3"/>
      <c r="GL900" s="3"/>
      <c r="GM900" s="3"/>
      <c r="GN900" s="3"/>
      <c r="GO900" s="3"/>
      <c r="GP900" s="3"/>
      <c r="GQ900" s="3"/>
      <c r="GR900" s="3"/>
      <c r="GS900" s="3"/>
      <c r="GT900" s="3"/>
      <c r="GU900" s="3"/>
      <c r="GV900" s="3"/>
      <c r="GW900" s="3"/>
      <c r="GX900" s="3"/>
      <c r="GY900" s="3"/>
      <c r="GZ900" s="3"/>
      <c r="HA900" s="3"/>
      <c r="HB900" s="3"/>
      <c r="HC900" s="3"/>
      <c r="HD900" s="3"/>
      <c r="HE900" s="3"/>
      <c r="HF900" s="3"/>
      <c r="HG900" s="3"/>
      <c r="HH900" s="3"/>
      <c r="HI900" s="3"/>
      <c r="HJ900" s="3"/>
      <c r="HK900" s="3"/>
      <c r="HL900" s="3"/>
      <c r="HM900" s="3"/>
      <c r="HN900" s="3"/>
      <c r="HO900" s="3"/>
      <c r="HP900" s="3"/>
      <c r="HQ900" s="3"/>
      <c r="HR900" s="3"/>
      <c r="HS900" s="3"/>
      <c r="HT900" s="3"/>
    </row>
    <row r="901">
      <c r="A901" s="14"/>
      <c r="B901" s="3"/>
      <c r="C901" s="3"/>
      <c r="D901" s="3"/>
      <c r="E901" s="3"/>
      <c r="F901" s="5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7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3"/>
      <c r="FU901" s="3"/>
      <c r="FV901" s="3"/>
      <c r="FW901" s="3"/>
      <c r="FX901" s="3"/>
      <c r="FY901" s="3"/>
      <c r="FZ901" s="3"/>
      <c r="GA901" s="3"/>
      <c r="GB901" s="3"/>
      <c r="GC901" s="3"/>
      <c r="GD901" s="3"/>
      <c r="GE901" s="3"/>
      <c r="GF901" s="3"/>
      <c r="GG901" s="3"/>
      <c r="GH901" s="3"/>
      <c r="GI901" s="3"/>
      <c r="GJ901" s="3"/>
      <c r="GK901" s="3"/>
      <c r="GL901" s="3"/>
      <c r="GM901" s="3"/>
      <c r="GN901" s="3"/>
      <c r="GO901" s="3"/>
      <c r="GP901" s="3"/>
      <c r="GQ901" s="3"/>
      <c r="GR901" s="3"/>
      <c r="GS901" s="3"/>
      <c r="GT901" s="3"/>
      <c r="GU901" s="3"/>
      <c r="GV901" s="3"/>
      <c r="GW901" s="3"/>
      <c r="GX901" s="3"/>
      <c r="GY901" s="3"/>
      <c r="GZ901" s="3"/>
      <c r="HA901" s="3"/>
      <c r="HB901" s="3"/>
      <c r="HC901" s="3"/>
      <c r="HD901" s="3"/>
      <c r="HE901" s="3"/>
      <c r="HF901" s="3"/>
      <c r="HG901" s="3"/>
      <c r="HH901" s="3"/>
      <c r="HI901" s="3"/>
      <c r="HJ901" s="3"/>
      <c r="HK901" s="3"/>
      <c r="HL901" s="3"/>
      <c r="HM901" s="3"/>
      <c r="HN901" s="3"/>
      <c r="HO901" s="3"/>
      <c r="HP901" s="3"/>
      <c r="HQ901" s="3"/>
      <c r="HR901" s="3"/>
      <c r="HS901" s="3"/>
      <c r="HT901" s="3"/>
    </row>
    <row r="902">
      <c r="A902" s="14"/>
      <c r="B902" s="3"/>
      <c r="C902" s="3"/>
      <c r="D902" s="3"/>
      <c r="E902" s="3"/>
      <c r="F902" s="5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7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3"/>
      <c r="FW902" s="3"/>
      <c r="FX902" s="3"/>
      <c r="FY902" s="3"/>
      <c r="FZ902" s="3"/>
      <c r="GA902" s="3"/>
      <c r="GB902" s="3"/>
      <c r="GC902" s="3"/>
      <c r="GD902" s="3"/>
      <c r="GE902" s="3"/>
      <c r="GF902" s="3"/>
      <c r="GG902" s="3"/>
      <c r="GH902" s="3"/>
      <c r="GI902" s="3"/>
      <c r="GJ902" s="3"/>
      <c r="GK902" s="3"/>
      <c r="GL902" s="3"/>
      <c r="GM902" s="3"/>
      <c r="GN902" s="3"/>
      <c r="GO902" s="3"/>
      <c r="GP902" s="3"/>
      <c r="GQ902" s="3"/>
      <c r="GR902" s="3"/>
      <c r="GS902" s="3"/>
      <c r="GT902" s="3"/>
      <c r="GU902" s="3"/>
      <c r="GV902" s="3"/>
      <c r="GW902" s="3"/>
      <c r="GX902" s="3"/>
      <c r="GY902" s="3"/>
      <c r="GZ902" s="3"/>
      <c r="HA902" s="3"/>
      <c r="HB902" s="3"/>
      <c r="HC902" s="3"/>
      <c r="HD902" s="3"/>
      <c r="HE902" s="3"/>
      <c r="HF902" s="3"/>
      <c r="HG902" s="3"/>
      <c r="HH902" s="3"/>
      <c r="HI902" s="3"/>
      <c r="HJ902" s="3"/>
      <c r="HK902" s="3"/>
      <c r="HL902" s="3"/>
      <c r="HM902" s="3"/>
      <c r="HN902" s="3"/>
      <c r="HO902" s="3"/>
      <c r="HP902" s="3"/>
      <c r="HQ902" s="3"/>
      <c r="HR902" s="3"/>
      <c r="HS902" s="3"/>
      <c r="HT902" s="3"/>
    </row>
    <row r="903">
      <c r="A903" s="14"/>
      <c r="B903" s="3"/>
      <c r="C903" s="3"/>
      <c r="D903" s="3"/>
      <c r="E903" s="3"/>
      <c r="F903" s="5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7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3"/>
      <c r="FW903" s="3"/>
      <c r="FX903" s="3"/>
      <c r="FY903" s="3"/>
      <c r="FZ903" s="3"/>
      <c r="GA903" s="3"/>
      <c r="GB903" s="3"/>
      <c r="GC903" s="3"/>
      <c r="GD903" s="3"/>
      <c r="GE903" s="3"/>
      <c r="GF903" s="3"/>
      <c r="GG903" s="3"/>
      <c r="GH903" s="3"/>
      <c r="GI903" s="3"/>
      <c r="GJ903" s="3"/>
      <c r="GK903" s="3"/>
      <c r="GL903" s="3"/>
      <c r="GM903" s="3"/>
      <c r="GN903" s="3"/>
      <c r="GO903" s="3"/>
      <c r="GP903" s="3"/>
      <c r="GQ903" s="3"/>
      <c r="GR903" s="3"/>
      <c r="GS903" s="3"/>
      <c r="GT903" s="3"/>
      <c r="GU903" s="3"/>
      <c r="GV903" s="3"/>
      <c r="GW903" s="3"/>
      <c r="GX903" s="3"/>
      <c r="GY903" s="3"/>
      <c r="GZ903" s="3"/>
      <c r="HA903" s="3"/>
      <c r="HB903" s="3"/>
      <c r="HC903" s="3"/>
      <c r="HD903" s="3"/>
      <c r="HE903" s="3"/>
      <c r="HF903" s="3"/>
      <c r="HG903" s="3"/>
      <c r="HH903" s="3"/>
      <c r="HI903" s="3"/>
      <c r="HJ903" s="3"/>
      <c r="HK903" s="3"/>
      <c r="HL903" s="3"/>
      <c r="HM903" s="3"/>
      <c r="HN903" s="3"/>
      <c r="HO903" s="3"/>
      <c r="HP903" s="3"/>
      <c r="HQ903" s="3"/>
      <c r="HR903" s="3"/>
      <c r="HS903" s="3"/>
      <c r="HT903" s="3"/>
    </row>
    <row r="904">
      <c r="A904" s="14"/>
      <c r="B904" s="3"/>
      <c r="C904" s="3"/>
      <c r="D904" s="3"/>
      <c r="E904" s="3"/>
      <c r="F904" s="5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7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/>
      <c r="GB904" s="3"/>
      <c r="GC904" s="3"/>
      <c r="GD904" s="3"/>
      <c r="GE904" s="3"/>
      <c r="GF904" s="3"/>
      <c r="GG904" s="3"/>
      <c r="GH904" s="3"/>
      <c r="GI904" s="3"/>
      <c r="GJ904" s="3"/>
      <c r="GK904" s="3"/>
      <c r="GL904" s="3"/>
      <c r="GM904" s="3"/>
      <c r="GN904" s="3"/>
      <c r="GO904" s="3"/>
      <c r="GP904" s="3"/>
      <c r="GQ904" s="3"/>
      <c r="GR904" s="3"/>
      <c r="GS904" s="3"/>
      <c r="GT904" s="3"/>
      <c r="GU904" s="3"/>
      <c r="GV904" s="3"/>
      <c r="GW904" s="3"/>
      <c r="GX904" s="3"/>
      <c r="GY904" s="3"/>
      <c r="GZ904" s="3"/>
      <c r="HA904" s="3"/>
      <c r="HB904" s="3"/>
      <c r="HC904" s="3"/>
      <c r="HD904" s="3"/>
      <c r="HE904" s="3"/>
      <c r="HF904" s="3"/>
      <c r="HG904" s="3"/>
      <c r="HH904" s="3"/>
      <c r="HI904" s="3"/>
      <c r="HJ904" s="3"/>
      <c r="HK904" s="3"/>
      <c r="HL904" s="3"/>
      <c r="HM904" s="3"/>
      <c r="HN904" s="3"/>
      <c r="HO904" s="3"/>
      <c r="HP904" s="3"/>
      <c r="HQ904" s="3"/>
      <c r="HR904" s="3"/>
      <c r="HS904" s="3"/>
      <c r="HT904" s="3"/>
    </row>
    <row r="905">
      <c r="A905" s="14"/>
      <c r="B905" s="3"/>
      <c r="C905" s="3"/>
      <c r="D905" s="3"/>
      <c r="E905" s="3"/>
      <c r="F905" s="5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7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3"/>
      <c r="FW905" s="3"/>
      <c r="FX905" s="3"/>
      <c r="FY905" s="3"/>
      <c r="FZ905" s="3"/>
      <c r="GA905" s="3"/>
      <c r="GB905" s="3"/>
      <c r="GC905" s="3"/>
      <c r="GD905" s="3"/>
      <c r="GE905" s="3"/>
      <c r="GF905" s="3"/>
      <c r="GG905" s="3"/>
      <c r="GH905" s="3"/>
      <c r="GI905" s="3"/>
      <c r="GJ905" s="3"/>
      <c r="GK905" s="3"/>
      <c r="GL905" s="3"/>
      <c r="GM905" s="3"/>
      <c r="GN905" s="3"/>
      <c r="GO905" s="3"/>
      <c r="GP905" s="3"/>
      <c r="GQ905" s="3"/>
      <c r="GR905" s="3"/>
      <c r="GS905" s="3"/>
      <c r="GT905" s="3"/>
      <c r="GU905" s="3"/>
      <c r="GV905" s="3"/>
      <c r="GW905" s="3"/>
      <c r="GX905" s="3"/>
      <c r="GY905" s="3"/>
      <c r="GZ905" s="3"/>
      <c r="HA905" s="3"/>
      <c r="HB905" s="3"/>
      <c r="HC905" s="3"/>
      <c r="HD905" s="3"/>
      <c r="HE905" s="3"/>
      <c r="HF905" s="3"/>
      <c r="HG905" s="3"/>
      <c r="HH905" s="3"/>
      <c r="HI905" s="3"/>
      <c r="HJ905" s="3"/>
      <c r="HK905" s="3"/>
      <c r="HL905" s="3"/>
      <c r="HM905" s="3"/>
      <c r="HN905" s="3"/>
      <c r="HO905" s="3"/>
      <c r="HP905" s="3"/>
      <c r="HQ905" s="3"/>
      <c r="HR905" s="3"/>
      <c r="HS905" s="3"/>
      <c r="HT905" s="3"/>
    </row>
    <row r="906">
      <c r="A906" s="14"/>
      <c r="B906" s="3"/>
      <c r="C906" s="3"/>
      <c r="D906" s="3"/>
      <c r="E906" s="3"/>
      <c r="F906" s="5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7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FX906" s="3"/>
      <c r="FY906" s="3"/>
      <c r="FZ906" s="3"/>
      <c r="GA906" s="3"/>
      <c r="GB906" s="3"/>
      <c r="GC906" s="3"/>
      <c r="GD906" s="3"/>
      <c r="GE906" s="3"/>
      <c r="GF906" s="3"/>
      <c r="GG906" s="3"/>
      <c r="GH906" s="3"/>
      <c r="GI906" s="3"/>
      <c r="GJ906" s="3"/>
      <c r="GK906" s="3"/>
      <c r="GL906" s="3"/>
      <c r="GM906" s="3"/>
      <c r="GN906" s="3"/>
      <c r="GO906" s="3"/>
      <c r="GP906" s="3"/>
      <c r="GQ906" s="3"/>
      <c r="GR906" s="3"/>
      <c r="GS906" s="3"/>
      <c r="GT906" s="3"/>
      <c r="GU906" s="3"/>
      <c r="GV906" s="3"/>
      <c r="GW906" s="3"/>
      <c r="GX906" s="3"/>
      <c r="GY906" s="3"/>
      <c r="GZ906" s="3"/>
      <c r="HA906" s="3"/>
      <c r="HB906" s="3"/>
      <c r="HC906" s="3"/>
      <c r="HD906" s="3"/>
      <c r="HE906" s="3"/>
      <c r="HF906" s="3"/>
      <c r="HG906" s="3"/>
      <c r="HH906" s="3"/>
      <c r="HI906" s="3"/>
      <c r="HJ906" s="3"/>
      <c r="HK906" s="3"/>
      <c r="HL906" s="3"/>
      <c r="HM906" s="3"/>
      <c r="HN906" s="3"/>
      <c r="HO906" s="3"/>
      <c r="HP906" s="3"/>
      <c r="HQ906" s="3"/>
      <c r="HR906" s="3"/>
      <c r="HS906" s="3"/>
      <c r="HT906" s="3"/>
    </row>
    <row r="907">
      <c r="A907" s="14"/>
      <c r="B907" s="3"/>
      <c r="C907" s="3"/>
      <c r="D907" s="3"/>
      <c r="E907" s="3"/>
      <c r="F907" s="5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7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3"/>
      <c r="FW907" s="3"/>
      <c r="FX907" s="3"/>
      <c r="FY907" s="3"/>
      <c r="FZ907" s="3"/>
      <c r="GA907" s="3"/>
      <c r="GB907" s="3"/>
      <c r="GC907" s="3"/>
      <c r="GD907" s="3"/>
      <c r="GE907" s="3"/>
      <c r="GF907" s="3"/>
      <c r="GG907" s="3"/>
      <c r="GH907" s="3"/>
      <c r="GI907" s="3"/>
      <c r="GJ907" s="3"/>
      <c r="GK907" s="3"/>
      <c r="GL907" s="3"/>
      <c r="GM907" s="3"/>
      <c r="GN907" s="3"/>
      <c r="GO907" s="3"/>
      <c r="GP907" s="3"/>
      <c r="GQ907" s="3"/>
      <c r="GR907" s="3"/>
      <c r="GS907" s="3"/>
      <c r="GT907" s="3"/>
      <c r="GU907" s="3"/>
      <c r="GV907" s="3"/>
      <c r="GW907" s="3"/>
      <c r="GX907" s="3"/>
      <c r="GY907" s="3"/>
      <c r="GZ907" s="3"/>
      <c r="HA907" s="3"/>
      <c r="HB907" s="3"/>
      <c r="HC907" s="3"/>
      <c r="HD907" s="3"/>
      <c r="HE907" s="3"/>
      <c r="HF907" s="3"/>
      <c r="HG907" s="3"/>
      <c r="HH907" s="3"/>
      <c r="HI907" s="3"/>
      <c r="HJ907" s="3"/>
      <c r="HK907" s="3"/>
      <c r="HL907" s="3"/>
      <c r="HM907" s="3"/>
      <c r="HN907" s="3"/>
      <c r="HO907" s="3"/>
      <c r="HP907" s="3"/>
      <c r="HQ907" s="3"/>
      <c r="HR907" s="3"/>
      <c r="HS907" s="3"/>
      <c r="HT907" s="3"/>
    </row>
    <row r="908">
      <c r="A908" s="14"/>
      <c r="B908" s="3"/>
      <c r="C908" s="3"/>
      <c r="D908" s="3"/>
      <c r="E908" s="3"/>
      <c r="F908" s="5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7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FX908" s="3"/>
      <c r="FY908" s="3"/>
      <c r="FZ908" s="3"/>
      <c r="GA908" s="3"/>
      <c r="GB908" s="3"/>
      <c r="GC908" s="3"/>
      <c r="GD908" s="3"/>
      <c r="GE908" s="3"/>
      <c r="GF908" s="3"/>
      <c r="GG908" s="3"/>
      <c r="GH908" s="3"/>
      <c r="GI908" s="3"/>
      <c r="GJ908" s="3"/>
      <c r="GK908" s="3"/>
      <c r="GL908" s="3"/>
      <c r="GM908" s="3"/>
      <c r="GN908" s="3"/>
      <c r="GO908" s="3"/>
      <c r="GP908" s="3"/>
      <c r="GQ908" s="3"/>
      <c r="GR908" s="3"/>
      <c r="GS908" s="3"/>
      <c r="GT908" s="3"/>
      <c r="GU908" s="3"/>
      <c r="GV908" s="3"/>
      <c r="GW908" s="3"/>
      <c r="GX908" s="3"/>
      <c r="GY908" s="3"/>
      <c r="GZ908" s="3"/>
      <c r="HA908" s="3"/>
      <c r="HB908" s="3"/>
      <c r="HC908" s="3"/>
      <c r="HD908" s="3"/>
      <c r="HE908" s="3"/>
      <c r="HF908" s="3"/>
      <c r="HG908" s="3"/>
      <c r="HH908" s="3"/>
      <c r="HI908" s="3"/>
      <c r="HJ908" s="3"/>
      <c r="HK908" s="3"/>
      <c r="HL908" s="3"/>
      <c r="HM908" s="3"/>
      <c r="HN908" s="3"/>
      <c r="HO908" s="3"/>
      <c r="HP908" s="3"/>
      <c r="HQ908" s="3"/>
      <c r="HR908" s="3"/>
      <c r="HS908" s="3"/>
      <c r="HT908" s="3"/>
    </row>
    <row r="909">
      <c r="A909" s="14"/>
      <c r="B909" s="3"/>
      <c r="C909" s="3"/>
      <c r="D909" s="3"/>
      <c r="E909" s="3"/>
      <c r="F909" s="5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7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3"/>
      <c r="FW909" s="3"/>
      <c r="FX909" s="3"/>
      <c r="FY909" s="3"/>
      <c r="FZ909" s="3"/>
      <c r="GA909" s="3"/>
      <c r="GB909" s="3"/>
      <c r="GC909" s="3"/>
      <c r="GD909" s="3"/>
      <c r="GE909" s="3"/>
      <c r="GF909" s="3"/>
      <c r="GG909" s="3"/>
      <c r="GH909" s="3"/>
      <c r="GI909" s="3"/>
      <c r="GJ909" s="3"/>
      <c r="GK909" s="3"/>
      <c r="GL909" s="3"/>
      <c r="GM909" s="3"/>
      <c r="GN909" s="3"/>
      <c r="GO909" s="3"/>
      <c r="GP909" s="3"/>
      <c r="GQ909" s="3"/>
      <c r="GR909" s="3"/>
      <c r="GS909" s="3"/>
      <c r="GT909" s="3"/>
      <c r="GU909" s="3"/>
      <c r="GV909" s="3"/>
      <c r="GW909" s="3"/>
      <c r="GX909" s="3"/>
      <c r="GY909" s="3"/>
      <c r="GZ909" s="3"/>
      <c r="HA909" s="3"/>
      <c r="HB909" s="3"/>
      <c r="HC909" s="3"/>
      <c r="HD909" s="3"/>
      <c r="HE909" s="3"/>
      <c r="HF909" s="3"/>
      <c r="HG909" s="3"/>
      <c r="HH909" s="3"/>
      <c r="HI909" s="3"/>
      <c r="HJ909" s="3"/>
      <c r="HK909" s="3"/>
      <c r="HL909" s="3"/>
      <c r="HM909" s="3"/>
      <c r="HN909" s="3"/>
      <c r="HO909" s="3"/>
      <c r="HP909" s="3"/>
      <c r="HQ909" s="3"/>
      <c r="HR909" s="3"/>
      <c r="HS909" s="3"/>
      <c r="HT909" s="3"/>
    </row>
    <row r="910">
      <c r="A910" s="14"/>
      <c r="B910" s="3"/>
      <c r="C910" s="3"/>
      <c r="D910" s="3"/>
      <c r="E910" s="3"/>
      <c r="F910" s="5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7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FX910" s="3"/>
      <c r="FY910" s="3"/>
      <c r="FZ910" s="3"/>
      <c r="GA910" s="3"/>
      <c r="GB910" s="3"/>
      <c r="GC910" s="3"/>
      <c r="GD910" s="3"/>
      <c r="GE910" s="3"/>
      <c r="GF910" s="3"/>
      <c r="GG910" s="3"/>
      <c r="GH910" s="3"/>
      <c r="GI910" s="3"/>
      <c r="GJ910" s="3"/>
      <c r="GK910" s="3"/>
      <c r="GL910" s="3"/>
      <c r="GM910" s="3"/>
      <c r="GN910" s="3"/>
      <c r="GO910" s="3"/>
      <c r="GP910" s="3"/>
      <c r="GQ910" s="3"/>
      <c r="GR910" s="3"/>
      <c r="GS910" s="3"/>
      <c r="GT910" s="3"/>
      <c r="GU910" s="3"/>
      <c r="GV910" s="3"/>
      <c r="GW910" s="3"/>
      <c r="GX910" s="3"/>
      <c r="GY910" s="3"/>
      <c r="GZ910" s="3"/>
      <c r="HA910" s="3"/>
      <c r="HB910" s="3"/>
      <c r="HC910" s="3"/>
      <c r="HD910" s="3"/>
      <c r="HE910" s="3"/>
      <c r="HF910" s="3"/>
      <c r="HG910" s="3"/>
      <c r="HH910" s="3"/>
      <c r="HI910" s="3"/>
      <c r="HJ910" s="3"/>
      <c r="HK910" s="3"/>
      <c r="HL910" s="3"/>
      <c r="HM910" s="3"/>
      <c r="HN910" s="3"/>
      <c r="HO910" s="3"/>
      <c r="HP910" s="3"/>
      <c r="HQ910" s="3"/>
      <c r="HR910" s="3"/>
      <c r="HS910" s="3"/>
      <c r="HT910" s="3"/>
    </row>
    <row r="911">
      <c r="A911" s="14"/>
      <c r="B911" s="3"/>
      <c r="C911" s="3"/>
      <c r="D911" s="3"/>
      <c r="E911" s="3"/>
      <c r="F911" s="5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7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3"/>
      <c r="FW911" s="3"/>
      <c r="FX911" s="3"/>
      <c r="FY911" s="3"/>
      <c r="FZ911" s="3"/>
      <c r="GA911" s="3"/>
      <c r="GB911" s="3"/>
      <c r="GC911" s="3"/>
      <c r="GD911" s="3"/>
      <c r="GE911" s="3"/>
      <c r="GF911" s="3"/>
      <c r="GG911" s="3"/>
      <c r="GH911" s="3"/>
      <c r="GI911" s="3"/>
      <c r="GJ911" s="3"/>
      <c r="GK911" s="3"/>
      <c r="GL911" s="3"/>
      <c r="GM911" s="3"/>
      <c r="GN911" s="3"/>
      <c r="GO911" s="3"/>
      <c r="GP911" s="3"/>
      <c r="GQ911" s="3"/>
      <c r="GR911" s="3"/>
      <c r="GS911" s="3"/>
      <c r="GT911" s="3"/>
      <c r="GU911" s="3"/>
      <c r="GV911" s="3"/>
      <c r="GW911" s="3"/>
      <c r="GX911" s="3"/>
      <c r="GY911" s="3"/>
      <c r="GZ911" s="3"/>
      <c r="HA911" s="3"/>
      <c r="HB911" s="3"/>
      <c r="HC911" s="3"/>
      <c r="HD911" s="3"/>
      <c r="HE911" s="3"/>
      <c r="HF911" s="3"/>
      <c r="HG911" s="3"/>
      <c r="HH911" s="3"/>
      <c r="HI911" s="3"/>
      <c r="HJ911" s="3"/>
      <c r="HK911" s="3"/>
      <c r="HL911" s="3"/>
      <c r="HM911" s="3"/>
      <c r="HN911" s="3"/>
      <c r="HO911" s="3"/>
      <c r="HP911" s="3"/>
      <c r="HQ911" s="3"/>
      <c r="HR911" s="3"/>
      <c r="HS911" s="3"/>
      <c r="HT911" s="3"/>
    </row>
    <row r="912">
      <c r="A912" s="14"/>
      <c r="B912" s="3"/>
      <c r="C912" s="3"/>
      <c r="D912" s="3"/>
      <c r="E912" s="3"/>
      <c r="F912" s="5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7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/>
      <c r="GB912" s="3"/>
      <c r="GC912" s="3"/>
      <c r="GD912" s="3"/>
      <c r="GE912" s="3"/>
      <c r="GF912" s="3"/>
      <c r="GG912" s="3"/>
      <c r="GH912" s="3"/>
      <c r="GI912" s="3"/>
      <c r="GJ912" s="3"/>
      <c r="GK912" s="3"/>
      <c r="GL912" s="3"/>
      <c r="GM912" s="3"/>
      <c r="GN912" s="3"/>
      <c r="GO912" s="3"/>
      <c r="GP912" s="3"/>
      <c r="GQ912" s="3"/>
      <c r="GR912" s="3"/>
      <c r="GS912" s="3"/>
      <c r="GT912" s="3"/>
      <c r="GU912" s="3"/>
      <c r="GV912" s="3"/>
      <c r="GW912" s="3"/>
      <c r="GX912" s="3"/>
      <c r="GY912" s="3"/>
      <c r="GZ912" s="3"/>
      <c r="HA912" s="3"/>
      <c r="HB912" s="3"/>
      <c r="HC912" s="3"/>
      <c r="HD912" s="3"/>
      <c r="HE912" s="3"/>
      <c r="HF912" s="3"/>
      <c r="HG912" s="3"/>
      <c r="HH912" s="3"/>
      <c r="HI912" s="3"/>
      <c r="HJ912" s="3"/>
      <c r="HK912" s="3"/>
      <c r="HL912" s="3"/>
      <c r="HM912" s="3"/>
      <c r="HN912" s="3"/>
      <c r="HO912" s="3"/>
      <c r="HP912" s="3"/>
      <c r="HQ912" s="3"/>
      <c r="HR912" s="3"/>
      <c r="HS912" s="3"/>
      <c r="HT912" s="3"/>
    </row>
    <row r="913">
      <c r="A913" s="14"/>
      <c r="B913" s="3"/>
      <c r="C913" s="3"/>
      <c r="D913" s="3"/>
      <c r="E913" s="3"/>
      <c r="F913" s="5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7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3"/>
      <c r="FW913" s="3"/>
      <c r="FX913" s="3"/>
      <c r="FY913" s="3"/>
      <c r="FZ913" s="3"/>
      <c r="GA913" s="3"/>
      <c r="GB913" s="3"/>
      <c r="GC913" s="3"/>
      <c r="GD913" s="3"/>
      <c r="GE913" s="3"/>
      <c r="GF913" s="3"/>
      <c r="GG913" s="3"/>
      <c r="GH913" s="3"/>
      <c r="GI913" s="3"/>
      <c r="GJ913" s="3"/>
      <c r="GK913" s="3"/>
      <c r="GL913" s="3"/>
      <c r="GM913" s="3"/>
      <c r="GN913" s="3"/>
      <c r="GO913" s="3"/>
      <c r="GP913" s="3"/>
      <c r="GQ913" s="3"/>
      <c r="GR913" s="3"/>
      <c r="GS913" s="3"/>
      <c r="GT913" s="3"/>
      <c r="GU913" s="3"/>
      <c r="GV913" s="3"/>
      <c r="GW913" s="3"/>
      <c r="GX913" s="3"/>
      <c r="GY913" s="3"/>
      <c r="GZ913" s="3"/>
      <c r="HA913" s="3"/>
      <c r="HB913" s="3"/>
      <c r="HC913" s="3"/>
      <c r="HD913" s="3"/>
      <c r="HE913" s="3"/>
      <c r="HF913" s="3"/>
      <c r="HG913" s="3"/>
      <c r="HH913" s="3"/>
      <c r="HI913" s="3"/>
      <c r="HJ913" s="3"/>
      <c r="HK913" s="3"/>
      <c r="HL913" s="3"/>
      <c r="HM913" s="3"/>
      <c r="HN913" s="3"/>
      <c r="HO913" s="3"/>
      <c r="HP913" s="3"/>
      <c r="HQ913" s="3"/>
      <c r="HR913" s="3"/>
      <c r="HS913" s="3"/>
      <c r="HT913" s="3"/>
    </row>
    <row r="914">
      <c r="A914" s="14"/>
      <c r="B914" s="3"/>
      <c r="C914" s="3"/>
      <c r="D914" s="3"/>
      <c r="E914" s="3"/>
      <c r="F914" s="5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7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3"/>
      <c r="FW914" s="3"/>
      <c r="FX914" s="3"/>
      <c r="FY914" s="3"/>
      <c r="FZ914" s="3"/>
      <c r="GA914" s="3"/>
      <c r="GB914" s="3"/>
      <c r="GC914" s="3"/>
      <c r="GD914" s="3"/>
      <c r="GE914" s="3"/>
      <c r="GF914" s="3"/>
      <c r="GG914" s="3"/>
      <c r="GH914" s="3"/>
      <c r="GI914" s="3"/>
      <c r="GJ914" s="3"/>
      <c r="GK914" s="3"/>
      <c r="GL914" s="3"/>
      <c r="GM914" s="3"/>
      <c r="GN914" s="3"/>
      <c r="GO914" s="3"/>
      <c r="GP914" s="3"/>
      <c r="GQ914" s="3"/>
      <c r="GR914" s="3"/>
      <c r="GS914" s="3"/>
      <c r="GT914" s="3"/>
      <c r="GU914" s="3"/>
      <c r="GV914" s="3"/>
      <c r="GW914" s="3"/>
      <c r="GX914" s="3"/>
      <c r="GY914" s="3"/>
      <c r="GZ914" s="3"/>
      <c r="HA914" s="3"/>
      <c r="HB914" s="3"/>
      <c r="HC914" s="3"/>
      <c r="HD914" s="3"/>
      <c r="HE914" s="3"/>
      <c r="HF914" s="3"/>
      <c r="HG914" s="3"/>
      <c r="HH914" s="3"/>
      <c r="HI914" s="3"/>
      <c r="HJ914" s="3"/>
      <c r="HK914" s="3"/>
      <c r="HL914" s="3"/>
      <c r="HM914" s="3"/>
      <c r="HN914" s="3"/>
      <c r="HO914" s="3"/>
      <c r="HP914" s="3"/>
      <c r="HQ914" s="3"/>
      <c r="HR914" s="3"/>
      <c r="HS914" s="3"/>
      <c r="HT914" s="3"/>
    </row>
    <row r="915">
      <c r="A915" s="14"/>
      <c r="B915" s="3"/>
      <c r="C915" s="3"/>
      <c r="D915" s="3"/>
      <c r="E915" s="3"/>
      <c r="F915" s="5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7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3"/>
      <c r="FW915" s="3"/>
      <c r="FX915" s="3"/>
      <c r="FY915" s="3"/>
      <c r="FZ915" s="3"/>
      <c r="GA915" s="3"/>
      <c r="GB915" s="3"/>
      <c r="GC915" s="3"/>
      <c r="GD915" s="3"/>
      <c r="GE915" s="3"/>
      <c r="GF915" s="3"/>
      <c r="GG915" s="3"/>
      <c r="GH915" s="3"/>
      <c r="GI915" s="3"/>
      <c r="GJ915" s="3"/>
      <c r="GK915" s="3"/>
      <c r="GL915" s="3"/>
      <c r="GM915" s="3"/>
      <c r="GN915" s="3"/>
      <c r="GO915" s="3"/>
      <c r="GP915" s="3"/>
      <c r="GQ915" s="3"/>
      <c r="GR915" s="3"/>
      <c r="GS915" s="3"/>
      <c r="GT915" s="3"/>
      <c r="GU915" s="3"/>
      <c r="GV915" s="3"/>
      <c r="GW915" s="3"/>
      <c r="GX915" s="3"/>
      <c r="GY915" s="3"/>
      <c r="GZ915" s="3"/>
      <c r="HA915" s="3"/>
      <c r="HB915" s="3"/>
      <c r="HC915" s="3"/>
      <c r="HD915" s="3"/>
      <c r="HE915" s="3"/>
      <c r="HF915" s="3"/>
      <c r="HG915" s="3"/>
      <c r="HH915" s="3"/>
      <c r="HI915" s="3"/>
      <c r="HJ915" s="3"/>
      <c r="HK915" s="3"/>
      <c r="HL915" s="3"/>
      <c r="HM915" s="3"/>
      <c r="HN915" s="3"/>
      <c r="HO915" s="3"/>
      <c r="HP915" s="3"/>
      <c r="HQ915" s="3"/>
      <c r="HR915" s="3"/>
      <c r="HS915" s="3"/>
      <c r="HT915" s="3"/>
    </row>
    <row r="916">
      <c r="A916" s="14"/>
      <c r="B916" s="3"/>
      <c r="C916" s="3"/>
      <c r="D916" s="3"/>
      <c r="E916" s="3"/>
      <c r="F916" s="5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7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/>
      <c r="GB916" s="3"/>
      <c r="GC916" s="3"/>
      <c r="GD916" s="3"/>
      <c r="GE916" s="3"/>
      <c r="GF916" s="3"/>
      <c r="GG916" s="3"/>
      <c r="GH916" s="3"/>
      <c r="GI916" s="3"/>
      <c r="GJ916" s="3"/>
      <c r="GK916" s="3"/>
      <c r="GL916" s="3"/>
      <c r="GM916" s="3"/>
      <c r="GN916" s="3"/>
      <c r="GO916" s="3"/>
      <c r="GP916" s="3"/>
      <c r="GQ916" s="3"/>
      <c r="GR916" s="3"/>
      <c r="GS916" s="3"/>
      <c r="GT916" s="3"/>
      <c r="GU916" s="3"/>
      <c r="GV916" s="3"/>
      <c r="GW916" s="3"/>
      <c r="GX916" s="3"/>
      <c r="GY916" s="3"/>
      <c r="GZ916" s="3"/>
      <c r="HA916" s="3"/>
      <c r="HB916" s="3"/>
      <c r="HC916" s="3"/>
      <c r="HD916" s="3"/>
      <c r="HE916" s="3"/>
      <c r="HF916" s="3"/>
      <c r="HG916" s="3"/>
      <c r="HH916" s="3"/>
      <c r="HI916" s="3"/>
      <c r="HJ916" s="3"/>
      <c r="HK916" s="3"/>
      <c r="HL916" s="3"/>
      <c r="HM916" s="3"/>
      <c r="HN916" s="3"/>
      <c r="HO916" s="3"/>
      <c r="HP916" s="3"/>
      <c r="HQ916" s="3"/>
      <c r="HR916" s="3"/>
      <c r="HS916" s="3"/>
      <c r="HT916" s="3"/>
    </row>
    <row r="917">
      <c r="A917" s="14"/>
      <c r="B917" s="3"/>
      <c r="C917" s="3"/>
      <c r="D917" s="3"/>
      <c r="E917" s="3"/>
      <c r="F917" s="5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7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3"/>
      <c r="FW917" s="3"/>
      <c r="FX917" s="3"/>
      <c r="FY917" s="3"/>
      <c r="FZ917" s="3"/>
      <c r="GA917" s="3"/>
      <c r="GB917" s="3"/>
      <c r="GC917" s="3"/>
      <c r="GD917" s="3"/>
      <c r="GE917" s="3"/>
      <c r="GF917" s="3"/>
      <c r="GG917" s="3"/>
      <c r="GH917" s="3"/>
      <c r="GI917" s="3"/>
      <c r="GJ917" s="3"/>
      <c r="GK917" s="3"/>
      <c r="GL917" s="3"/>
      <c r="GM917" s="3"/>
      <c r="GN917" s="3"/>
      <c r="GO917" s="3"/>
      <c r="GP917" s="3"/>
      <c r="GQ917" s="3"/>
      <c r="GR917" s="3"/>
      <c r="GS917" s="3"/>
      <c r="GT917" s="3"/>
      <c r="GU917" s="3"/>
      <c r="GV917" s="3"/>
      <c r="GW917" s="3"/>
      <c r="GX917" s="3"/>
      <c r="GY917" s="3"/>
      <c r="GZ917" s="3"/>
      <c r="HA917" s="3"/>
      <c r="HB917" s="3"/>
      <c r="HC917" s="3"/>
      <c r="HD917" s="3"/>
      <c r="HE917" s="3"/>
      <c r="HF917" s="3"/>
      <c r="HG917" s="3"/>
      <c r="HH917" s="3"/>
      <c r="HI917" s="3"/>
      <c r="HJ917" s="3"/>
      <c r="HK917" s="3"/>
      <c r="HL917" s="3"/>
      <c r="HM917" s="3"/>
      <c r="HN917" s="3"/>
      <c r="HO917" s="3"/>
      <c r="HP917" s="3"/>
      <c r="HQ917" s="3"/>
      <c r="HR917" s="3"/>
      <c r="HS917" s="3"/>
      <c r="HT917" s="3"/>
    </row>
    <row r="918">
      <c r="A918" s="14"/>
      <c r="B918" s="3"/>
      <c r="C918" s="3"/>
      <c r="D918" s="3"/>
      <c r="E918" s="3"/>
      <c r="F918" s="5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7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3"/>
      <c r="FW918" s="3"/>
      <c r="FX918" s="3"/>
      <c r="FY918" s="3"/>
      <c r="FZ918" s="3"/>
      <c r="GA918" s="3"/>
      <c r="GB918" s="3"/>
      <c r="GC918" s="3"/>
      <c r="GD918" s="3"/>
      <c r="GE918" s="3"/>
      <c r="GF918" s="3"/>
      <c r="GG918" s="3"/>
      <c r="GH918" s="3"/>
      <c r="GI918" s="3"/>
      <c r="GJ918" s="3"/>
      <c r="GK918" s="3"/>
      <c r="GL918" s="3"/>
      <c r="GM918" s="3"/>
      <c r="GN918" s="3"/>
      <c r="GO918" s="3"/>
      <c r="GP918" s="3"/>
      <c r="GQ918" s="3"/>
      <c r="GR918" s="3"/>
      <c r="GS918" s="3"/>
      <c r="GT918" s="3"/>
      <c r="GU918" s="3"/>
      <c r="GV918" s="3"/>
      <c r="GW918" s="3"/>
      <c r="GX918" s="3"/>
      <c r="GY918" s="3"/>
      <c r="GZ918" s="3"/>
      <c r="HA918" s="3"/>
      <c r="HB918" s="3"/>
      <c r="HC918" s="3"/>
      <c r="HD918" s="3"/>
      <c r="HE918" s="3"/>
      <c r="HF918" s="3"/>
      <c r="HG918" s="3"/>
      <c r="HH918" s="3"/>
      <c r="HI918" s="3"/>
      <c r="HJ918" s="3"/>
      <c r="HK918" s="3"/>
      <c r="HL918" s="3"/>
      <c r="HM918" s="3"/>
      <c r="HN918" s="3"/>
      <c r="HO918" s="3"/>
      <c r="HP918" s="3"/>
      <c r="HQ918" s="3"/>
      <c r="HR918" s="3"/>
      <c r="HS918" s="3"/>
      <c r="HT918" s="3"/>
    </row>
    <row r="919">
      <c r="A919" s="14"/>
      <c r="B919" s="3"/>
      <c r="C919" s="3"/>
      <c r="D919" s="3"/>
      <c r="E919" s="3"/>
      <c r="F919" s="5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7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3"/>
      <c r="FW919" s="3"/>
      <c r="FX919" s="3"/>
      <c r="FY919" s="3"/>
      <c r="FZ919" s="3"/>
      <c r="GA919" s="3"/>
      <c r="GB919" s="3"/>
      <c r="GC919" s="3"/>
      <c r="GD919" s="3"/>
      <c r="GE919" s="3"/>
      <c r="GF919" s="3"/>
      <c r="GG919" s="3"/>
      <c r="GH919" s="3"/>
      <c r="GI919" s="3"/>
      <c r="GJ919" s="3"/>
      <c r="GK919" s="3"/>
      <c r="GL919" s="3"/>
      <c r="GM919" s="3"/>
      <c r="GN919" s="3"/>
      <c r="GO919" s="3"/>
      <c r="GP919" s="3"/>
      <c r="GQ919" s="3"/>
      <c r="GR919" s="3"/>
      <c r="GS919" s="3"/>
      <c r="GT919" s="3"/>
      <c r="GU919" s="3"/>
      <c r="GV919" s="3"/>
      <c r="GW919" s="3"/>
      <c r="GX919" s="3"/>
      <c r="GY919" s="3"/>
      <c r="GZ919" s="3"/>
      <c r="HA919" s="3"/>
      <c r="HB919" s="3"/>
      <c r="HC919" s="3"/>
      <c r="HD919" s="3"/>
      <c r="HE919" s="3"/>
      <c r="HF919" s="3"/>
      <c r="HG919" s="3"/>
      <c r="HH919" s="3"/>
      <c r="HI919" s="3"/>
      <c r="HJ919" s="3"/>
      <c r="HK919" s="3"/>
      <c r="HL919" s="3"/>
      <c r="HM919" s="3"/>
      <c r="HN919" s="3"/>
      <c r="HO919" s="3"/>
      <c r="HP919" s="3"/>
      <c r="HQ919" s="3"/>
      <c r="HR919" s="3"/>
      <c r="HS919" s="3"/>
      <c r="HT919" s="3"/>
    </row>
    <row r="920">
      <c r="A920" s="14"/>
      <c r="B920" s="3"/>
      <c r="C920" s="3"/>
      <c r="D920" s="3"/>
      <c r="E920" s="3"/>
      <c r="F920" s="5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7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/>
      <c r="GB920" s="3"/>
      <c r="GC920" s="3"/>
      <c r="GD920" s="3"/>
      <c r="GE920" s="3"/>
      <c r="GF920" s="3"/>
      <c r="GG920" s="3"/>
      <c r="GH920" s="3"/>
      <c r="GI920" s="3"/>
      <c r="GJ920" s="3"/>
      <c r="GK920" s="3"/>
      <c r="GL920" s="3"/>
      <c r="GM920" s="3"/>
      <c r="GN920" s="3"/>
      <c r="GO920" s="3"/>
      <c r="GP920" s="3"/>
      <c r="GQ920" s="3"/>
      <c r="GR920" s="3"/>
      <c r="GS920" s="3"/>
      <c r="GT920" s="3"/>
      <c r="GU920" s="3"/>
      <c r="GV920" s="3"/>
      <c r="GW920" s="3"/>
      <c r="GX920" s="3"/>
      <c r="GY920" s="3"/>
      <c r="GZ920" s="3"/>
      <c r="HA920" s="3"/>
      <c r="HB920" s="3"/>
      <c r="HC920" s="3"/>
      <c r="HD920" s="3"/>
      <c r="HE920" s="3"/>
      <c r="HF920" s="3"/>
      <c r="HG920" s="3"/>
      <c r="HH920" s="3"/>
      <c r="HI920" s="3"/>
      <c r="HJ920" s="3"/>
      <c r="HK920" s="3"/>
      <c r="HL920" s="3"/>
      <c r="HM920" s="3"/>
      <c r="HN920" s="3"/>
      <c r="HO920" s="3"/>
      <c r="HP920" s="3"/>
      <c r="HQ920" s="3"/>
      <c r="HR920" s="3"/>
      <c r="HS920" s="3"/>
      <c r="HT920" s="3"/>
    </row>
    <row r="921">
      <c r="A921" s="14"/>
      <c r="B921" s="3"/>
      <c r="C921" s="3"/>
      <c r="D921" s="3"/>
      <c r="E921" s="3"/>
      <c r="F921" s="5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7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3"/>
      <c r="FW921" s="3"/>
      <c r="FX921" s="3"/>
      <c r="FY921" s="3"/>
      <c r="FZ921" s="3"/>
      <c r="GA921" s="3"/>
      <c r="GB921" s="3"/>
      <c r="GC921" s="3"/>
      <c r="GD921" s="3"/>
      <c r="GE921" s="3"/>
      <c r="GF921" s="3"/>
      <c r="GG921" s="3"/>
      <c r="GH921" s="3"/>
      <c r="GI921" s="3"/>
      <c r="GJ921" s="3"/>
      <c r="GK921" s="3"/>
      <c r="GL921" s="3"/>
      <c r="GM921" s="3"/>
      <c r="GN921" s="3"/>
      <c r="GO921" s="3"/>
      <c r="GP921" s="3"/>
      <c r="GQ921" s="3"/>
      <c r="GR921" s="3"/>
      <c r="GS921" s="3"/>
      <c r="GT921" s="3"/>
      <c r="GU921" s="3"/>
      <c r="GV921" s="3"/>
      <c r="GW921" s="3"/>
      <c r="GX921" s="3"/>
      <c r="GY921" s="3"/>
      <c r="GZ921" s="3"/>
      <c r="HA921" s="3"/>
      <c r="HB921" s="3"/>
      <c r="HC921" s="3"/>
      <c r="HD921" s="3"/>
      <c r="HE921" s="3"/>
      <c r="HF921" s="3"/>
      <c r="HG921" s="3"/>
      <c r="HH921" s="3"/>
      <c r="HI921" s="3"/>
      <c r="HJ921" s="3"/>
      <c r="HK921" s="3"/>
      <c r="HL921" s="3"/>
      <c r="HM921" s="3"/>
      <c r="HN921" s="3"/>
      <c r="HO921" s="3"/>
      <c r="HP921" s="3"/>
      <c r="HQ921" s="3"/>
      <c r="HR921" s="3"/>
      <c r="HS921" s="3"/>
      <c r="HT921" s="3"/>
    </row>
    <row r="922">
      <c r="A922" s="14"/>
      <c r="B922" s="3"/>
      <c r="C922" s="3"/>
      <c r="D922" s="3"/>
      <c r="E922" s="3"/>
      <c r="F922" s="5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7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3"/>
      <c r="FW922" s="3"/>
      <c r="FX922" s="3"/>
      <c r="FY922" s="3"/>
      <c r="FZ922" s="3"/>
      <c r="GA922" s="3"/>
      <c r="GB922" s="3"/>
      <c r="GC922" s="3"/>
      <c r="GD922" s="3"/>
      <c r="GE922" s="3"/>
      <c r="GF922" s="3"/>
      <c r="GG922" s="3"/>
      <c r="GH922" s="3"/>
      <c r="GI922" s="3"/>
      <c r="GJ922" s="3"/>
      <c r="GK922" s="3"/>
      <c r="GL922" s="3"/>
      <c r="GM922" s="3"/>
      <c r="GN922" s="3"/>
      <c r="GO922" s="3"/>
      <c r="GP922" s="3"/>
      <c r="GQ922" s="3"/>
      <c r="GR922" s="3"/>
      <c r="GS922" s="3"/>
      <c r="GT922" s="3"/>
      <c r="GU922" s="3"/>
      <c r="GV922" s="3"/>
      <c r="GW922" s="3"/>
      <c r="GX922" s="3"/>
      <c r="GY922" s="3"/>
      <c r="GZ922" s="3"/>
      <c r="HA922" s="3"/>
      <c r="HB922" s="3"/>
      <c r="HC922" s="3"/>
      <c r="HD922" s="3"/>
      <c r="HE922" s="3"/>
      <c r="HF922" s="3"/>
      <c r="HG922" s="3"/>
      <c r="HH922" s="3"/>
      <c r="HI922" s="3"/>
      <c r="HJ922" s="3"/>
      <c r="HK922" s="3"/>
      <c r="HL922" s="3"/>
      <c r="HM922" s="3"/>
      <c r="HN922" s="3"/>
      <c r="HO922" s="3"/>
      <c r="HP922" s="3"/>
      <c r="HQ922" s="3"/>
      <c r="HR922" s="3"/>
      <c r="HS922" s="3"/>
      <c r="HT922" s="3"/>
    </row>
    <row r="923">
      <c r="A923" s="14"/>
      <c r="B923" s="3"/>
      <c r="C923" s="3"/>
      <c r="D923" s="3"/>
      <c r="E923" s="3"/>
      <c r="F923" s="5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7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3"/>
      <c r="FW923" s="3"/>
      <c r="FX923" s="3"/>
      <c r="FY923" s="3"/>
      <c r="FZ923" s="3"/>
      <c r="GA923" s="3"/>
      <c r="GB923" s="3"/>
      <c r="GC923" s="3"/>
      <c r="GD923" s="3"/>
      <c r="GE923" s="3"/>
      <c r="GF923" s="3"/>
      <c r="GG923" s="3"/>
      <c r="GH923" s="3"/>
      <c r="GI923" s="3"/>
      <c r="GJ923" s="3"/>
      <c r="GK923" s="3"/>
      <c r="GL923" s="3"/>
      <c r="GM923" s="3"/>
      <c r="GN923" s="3"/>
      <c r="GO923" s="3"/>
      <c r="GP923" s="3"/>
      <c r="GQ923" s="3"/>
      <c r="GR923" s="3"/>
      <c r="GS923" s="3"/>
      <c r="GT923" s="3"/>
      <c r="GU923" s="3"/>
      <c r="GV923" s="3"/>
      <c r="GW923" s="3"/>
      <c r="GX923" s="3"/>
      <c r="GY923" s="3"/>
      <c r="GZ923" s="3"/>
      <c r="HA923" s="3"/>
      <c r="HB923" s="3"/>
      <c r="HC923" s="3"/>
      <c r="HD923" s="3"/>
      <c r="HE923" s="3"/>
      <c r="HF923" s="3"/>
      <c r="HG923" s="3"/>
      <c r="HH923" s="3"/>
      <c r="HI923" s="3"/>
      <c r="HJ923" s="3"/>
      <c r="HK923" s="3"/>
      <c r="HL923" s="3"/>
      <c r="HM923" s="3"/>
      <c r="HN923" s="3"/>
      <c r="HO923" s="3"/>
      <c r="HP923" s="3"/>
      <c r="HQ923" s="3"/>
      <c r="HR923" s="3"/>
      <c r="HS923" s="3"/>
      <c r="HT923" s="3"/>
    </row>
    <row r="924">
      <c r="A924" s="14"/>
      <c r="B924" s="3"/>
      <c r="C924" s="3"/>
      <c r="D924" s="3"/>
      <c r="E924" s="3"/>
      <c r="F924" s="5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7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FX924" s="3"/>
      <c r="FY924" s="3"/>
      <c r="FZ924" s="3"/>
      <c r="GA924" s="3"/>
      <c r="GB924" s="3"/>
      <c r="GC924" s="3"/>
      <c r="GD924" s="3"/>
      <c r="GE924" s="3"/>
      <c r="GF924" s="3"/>
      <c r="GG924" s="3"/>
      <c r="GH924" s="3"/>
      <c r="GI924" s="3"/>
      <c r="GJ924" s="3"/>
      <c r="GK924" s="3"/>
      <c r="GL924" s="3"/>
      <c r="GM924" s="3"/>
      <c r="GN924" s="3"/>
      <c r="GO924" s="3"/>
      <c r="GP924" s="3"/>
      <c r="GQ924" s="3"/>
      <c r="GR924" s="3"/>
      <c r="GS924" s="3"/>
      <c r="GT924" s="3"/>
      <c r="GU924" s="3"/>
      <c r="GV924" s="3"/>
      <c r="GW924" s="3"/>
      <c r="GX924" s="3"/>
      <c r="GY924" s="3"/>
      <c r="GZ924" s="3"/>
      <c r="HA924" s="3"/>
      <c r="HB924" s="3"/>
      <c r="HC924" s="3"/>
      <c r="HD924" s="3"/>
      <c r="HE924" s="3"/>
      <c r="HF924" s="3"/>
      <c r="HG924" s="3"/>
      <c r="HH924" s="3"/>
      <c r="HI924" s="3"/>
      <c r="HJ924" s="3"/>
      <c r="HK924" s="3"/>
      <c r="HL924" s="3"/>
      <c r="HM924" s="3"/>
      <c r="HN924" s="3"/>
      <c r="HO924" s="3"/>
      <c r="HP924" s="3"/>
      <c r="HQ924" s="3"/>
      <c r="HR924" s="3"/>
      <c r="HS924" s="3"/>
      <c r="HT924" s="3"/>
    </row>
    <row r="925">
      <c r="A925" s="14"/>
      <c r="B925" s="3"/>
      <c r="C925" s="3"/>
      <c r="D925" s="3"/>
      <c r="E925" s="3"/>
      <c r="F925" s="5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7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3"/>
      <c r="FW925" s="3"/>
      <c r="FX925" s="3"/>
      <c r="FY925" s="3"/>
      <c r="FZ925" s="3"/>
      <c r="GA925" s="3"/>
      <c r="GB925" s="3"/>
      <c r="GC925" s="3"/>
      <c r="GD925" s="3"/>
      <c r="GE925" s="3"/>
      <c r="GF925" s="3"/>
      <c r="GG925" s="3"/>
      <c r="GH925" s="3"/>
      <c r="GI925" s="3"/>
      <c r="GJ925" s="3"/>
      <c r="GK925" s="3"/>
      <c r="GL925" s="3"/>
      <c r="GM925" s="3"/>
      <c r="GN925" s="3"/>
      <c r="GO925" s="3"/>
      <c r="GP925" s="3"/>
      <c r="GQ925" s="3"/>
      <c r="GR925" s="3"/>
      <c r="GS925" s="3"/>
      <c r="GT925" s="3"/>
      <c r="GU925" s="3"/>
      <c r="GV925" s="3"/>
      <c r="GW925" s="3"/>
      <c r="GX925" s="3"/>
      <c r="GY925" s="3"/>
      <c r="GZ925" s="3"/>
      <c r="HA925" s="3"/>
      <c r="HB925" s="3"/>
      <c r="HC925" s="3"/>
      <c r="HD925" s="3"/>
      <c r="HE925" s="3"/>
      <c r="HF925" s="3"/>
      <c r="HG925" s="3"/>
      <c r="HH925" s="3"/>
      <c r="HI925" s="3"/>
      <c r="HJ925" s="3"/>
      <c r="HK925" s="3"/>
      <c r="HL925" s="3"/>
      <c r="HM925" s="3"/>
      <c r="HN925" s="3"/>
      <c r="HO925" s="3"/>
      <c r="HP925" s="3"/>
      <c r="HQ925" s="3"/>
      <c r="HR925" s="3"/>
      <c r="HS925" s="3"/>
      <c r="HT925" s="3"/>
    </row>
    <row r="926">
      <c r="A926" s="14"/>
      <c r="B926" s="3"/>
      <c r="C926" s="3"/>
      <c r="D926" s="3"/>
      <c r="E926" s="3"/>
      <c r="F926" s="5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7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3"/>
      <c r="FW926" s="3"/>
      <c r="FX926" s="3"/>
      <c r="FY926" s="3"/>
      <c r="FZ926" s="3"/>
      <c r="GA926" s="3"/>
      <c r="GB926" s="3"/>
      <c r="GC926" s="3"/>
      <c r="GD926" s="3"/>
      <c r="GE926" s="3"/>
      <c r="GF926" s="3"/>
      <c r="GG926" s="3"/>
      <c r="GH926" s="3"/>
      <c r="GI926" s="3"/>
      <c r="GJ926" s="3"/>
      <c r="GK926" s="3"/>
      <c r="GL926" s="3"/>
      <c r="GM926" s="3"/>
      <c r="GN926" s="3"/>
      <c r="GO926" s="3"/>
      <c r="GP926" s="3"/>
      <c r="GQ926" s="3"/>
      <c r="GR926" s="3"/>
      <c r="GS926" s="3"/>
      <c r="GT926" s="3"/>
      <c r="GU926" s="3"/>
      <c r="GV926" s="3"/>
      <c r="GW926" s="3"/>
      <c r="GX926" s="3"/>
      <c r="GY926" s="3"/>
      <c r="GZ926" s="3"/>
      <c r="HA926" s="3"/>
      <c r="HB926" s="3"/>
      <c r="HC926" s="3"/>
      <c r="HD926" s="3"/>
      <c r="HE926" s="3"/>
      <c r="HF926" s="3"/>
      <c r="HG926" s="3"/>
      <c r="HH926" s="3"/>
      <c r="HI926" s="3"/>
      <c r="HJ926" s="3"/>
      <c r="HK926" s="3"/>
      <c r="HL926" s="3"/>
      <c r="HM926" s="3"/>
      <c r="HN926" s="3"/>
      <c r="HO926" s="3"/>
      <c r="HP926" s="3"/>
      <c r="HQ926" s="3"/>
      <c r="HR926" s="3"/>
      <c r="HS926" s="3"/>
      <c r="HT926" s="3"/>
    </row>
    <row r="927">
      <c r="A927" s="14"/>
      <c r="B927" s="3"/>
      <c r="C927" s="3"/>
      <c r="D927" s="3"/>
      <c r="E927" s="3"/>
      <c r="F927" s="5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7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3"/>
      <c r="FW927" s="3"/>
      <c r="FX927" s="3"/>
      <c r="FY927" s="3"/>
      <c r="FZ927" s="3"/>
      <c r="GA927" s="3"/>
      <c r="GB927" s="3"/>
      <c r="GC927" s="3"/>
      <c r="GD927" s="3"/>
      <c r="GE927" s="3"/>
      <c r="GF927" s="3"/>
      <c r="GG927" s="3"/>
      <c r="GH927" s="3"/>
      <c r="GI927" s="3"/>
      <c r="GJ927" s="3"/>
      <c r="GK927" s="3"/>
      <c r="GL927" s="3"/>
      <c r="GM927" s="3"/>
      <c r="GN927" s="3"/>
      <c r="GO927" s="3"/>
      <c r="GP927" s="3"/>
      <c r="GQ927" s="3"/>
      <c r="GR927" s="3"/>
      <c r="GS927" s="3"/>
      <c r="GT927" s="3"/>
      <c r="GU927" s="3"/>
      <c r="GV927" s="3"/>
      <c r="GW927" s="3"/>
      <c r="GX927" s="3"/>
      <c r="GY927" s="3"/>
      <c r="GZ927" s="3"/>
      <c r="HA927" s="3"/>
      <c r="HB927" s="3"/>
      <c r="HC927" s="3"/>
      <c r="HD927" s="3"/>
      <c r="HE927" s="3"/>
      <c r="HF927" s="3"/>
      <c r="HG927" s="3"/>
      <c r="HH927" s="3"/>
      <c r="HI927" s="3"/>
      <c r="HJ927" s="3"/>
      <c r="HK927" s="3"/>
      <c r="HL927" s="3"/>
      <c r="HM927" s="3"/>
      <c r="HN927" s="3"/>
      <c r="HO927" s="3"/>
      <c r="HP927" s="3"/>
      <c r="HQ927" s="3"/>
      <c r="HR927" s="3"/>
      <c r="HS927" s="3"/>
      <c r="HT927" s="3"/>
    </row>
    <row r="928">
      <c r="A928" s="14"/>
      <c r="B928" s="3"/>
      <c r="C928" s="3"/>
      <c r="D928" s="3"/>
      <c r="E928" s="3"/>
      <c r="F928" s="5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7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D928" s="3"/>
      <c r="GE928" s="3"/>
      <c r="GF928" s="3"/>
      <c r="GG928" s="3"/>
      <c r="GH928" s="3"/>
      <c r="GI928" s="3"/>
      <c r="GJ928" s="3"/>
      <c r="GK928" s="3"/>
      <c r="GL928" s="3"/>
      <c r="GM928" s="3"/>
      <c r="GN928" s="3"/>
      <c r="GO928" s="3"/>
      <c r="GP928" s="3"/>
      <c r="GQ928" s="3"/>
      <c r="GR928" s="3"/>
      <c r="GS928" s="3"/>
      <c r="GT928" s="3"/>
      <c r="GU928" s="3"/>
      <c r="GV928" s="3"/>
      <c r="GW928" s="3"/>
      <c r="GX928" s="3"/>
      <c r="GY928" s="3"/>
      <c r="GZ928" s="3"/>
      <c r="HA928" s="3"/>
      <c r="HB928" s="3"/>
      <c r="HC928" s="3"/>
      <c r="HD928" s="3"/>
      <c r="HE928" s="3"/>
      <c r="HF928" s="3"/>
      <c r="HG928" s="3"/>
      <c r="HH928" s="3"/>
      <c r="HI928" s="3"/>
      <c r="HJ928" s="3"/>
      <c r="HK928" s="3"/>
      <c r="HL928" s="3"/>
      <c r="HM928" s="3"/>
      <c r="HN928" s="3"/>
      <c r="HO928" s="3"/>
      <c r="HP928" s="3"/>
      <c r="HQ928" s="3"/>
      <c r="HR928" s="3"/>
      <c r="HS928" s="3"/>
      <c r="HT928" s="3"/>
    </row>
    <row r="929">
      <c r="A929" s="14"/>
      <c r="B929" s="3"/>
      <c r="C929" s="3"/>
      <c r="D929" s="3"/>
      <c r="E929" s="3"/>
      <c r="F929" s="5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7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3"/>
      <c r="FW929" s="3"/>
      <c r="FX929" s="3"/>
      <c r="FY929" s="3"/>
      <c r="FZ929" s="3"/>
      <c r="GA929" s="3"/>
      <c r="GB929" s="3"/>
      <c r="GC929" s="3"/>
      <c r="GD929" s="3"/>
      <c r="GE929" s="3"/>
      <c r="GF929" s="3"/>
      <c r="GG929" s="3"/>
      <c r="GH929" s="3"/>
      <c r="GI929" s="3"/>
      <c r="GJ929" s="3"/>
      <c r="GK929" s="3"/>
      <c r="GL929" s="3"/>
      <c r="GM929" s="3"/>
      <c r="GN929" s="3"/>
      <c r="GO929" s="3"/>
      <c r="GP929" s="3"/>
      <c r="GQ929" s="3"/>
      <c r="GR929" s="3"/>
      <c r="GS929" s="3"/>
      <c r="GT929" s="3"/>
      <c r="GU929" s="3"/>
      <c r="GV929" s="3"/>
      <c r="GW929" s="3"/>
      <c r="GX929" s="3"/>
      <c r="GY929" s="3"/>
      <c r="GZ929" s="3"/>
      <c r="HA929" s="3"/>
      <c r="HB929" s="3"/>
      <c r="HC929" s="3"/>
      <c r="HD929" s="3"/>
      <c r="HE929" s="3"/>
      <c r="HF929" s="3"/>
      <c r="HG929" s="3"/>
      <c r="HH929" s="3"/>
      <c r="HI929" s="3"/>
      <c r="HJ929" s="3"/>
      <c r="HK929" s="3"/>
      <c r="HL929" s="3"/>
      <c r="HM929" s="3"/>
      <c r="HN929" s="3"/>
      <c r="HO929" s="3"/>
      <c r="HP929" s="3"/>
      <c r="HQ929" s="3"/>
      <c r="HR929" s="3"/>
      <c r="HS929" s="3"/>
      <c r="HT929" s="3"/>
    </row>
    <row r="930">
      <c r="A930" s="14"/>
      <c r="B930" s="3"/>
      <c r="C930" s="3"/>
      <c r="D930" s="3"/>
      <c r="E930" s="3"/>
      <c r="F930" s="5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7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3"/>
      <c r="FW930" s="3"/>
      <c r="FX930" s="3"/>
      <c r="FY930" s="3"/>
      <c r="FZ930" s="3"/>
      <c r="GA930" s="3"/>
      <c r="GB930" s="3"/>
      <c r="GC930" s="3"/>
      <c r="GD930" s="3"/>
      <c r="GE930" s="3"/>
      <c r="GF930" s="3"/>
      <c r="GG930" s="3"/>
      <c r="GH930" s="3"/>
      <c r="GI930" s="3"/>
      <c r="GJ930" s="3"/>
      <c r="GK930" s="3"/>
      <c r="GL930" s="3"/>
      <c r="GM930" s="3"/>
      <c r="GN930" s="3"/>
      <c r="GO930" s="3"/>
      <c r="GP930" s="3"/>
      <c r="GQ930" s="3"/>
      <c r="GR930" s="3"/>
      <c r="GS930" s="3"/>
      <c r="GT930" s="3"/>
      <c r="GU930" s="3"/>
      <c r="GV930" s="3"/>
      <c r="GW930" s="3"/>
      <c r="GX930" s="3"/>
      <c r="GY930" s="3"/>
      <c r="GZ930" s="3"/>
      <c r="HA930" s="3"/>
      <c r="HB930" s="3"/>
      <c r="HC930" s="3"/>
      <c r="HD930" s="3"/>
      <c r="HE930" s="3"/>
      <c r="HF930" s="3"/>
      <c r="HG930" s="3"/>
      <c r="HH930" s="3"/>
      <c r="HI930" s="3"/>
      <c r="HJ930" s="3"/>
      <c r="HK930" s="3"/>
      <c r="HL930" s="3"/>
      <c r="HM930" s="3"/>
      <c r="HN930" s="3"/>
      <c r="HO930" s="3"/>
      <c r="HP930" s="3"/>
      <c r="HQ930" s="3"/>
      <c r="HR930" s="3"/>
      <c r="HS930" s="3"/>
      <c r="HT930" s="3"/>
    </row>
    <row r="931">
      <c r="A931" s="14"/>
      <c r="B931" s="3"/>
      <c r="C931" s="3"/>
      <c r="D931" s="3"/>
      <c r="E931" s="3"/>
      <c r="F931" s="5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7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3"/>
      <c r="FW931" s="3"/>
      <c r="FX931" s="3"/>
      <c r="FY931" s="3"/>
      <c r="FZ931" s="3"/>
      <c r="GA931" s="3"/>
      <c r="GB931" s="3"/>
      <c r="GC931" s="3"/>
      <c r="GD931" s="3"/>
      <c r="GE931" s="3"/>
      <c r="GF931" s="3"/>
      <c r="GG931" s="3"/>
      <c r="GH931" s="3"/>
      <c r="GI931" s="3"/>
      <c r="GJ931" s="3"/>
      <c r="GK931" s="3"/>
      <c r="GL931" s="3"/>
      <c r="GM931" s="3"/>
      <c r="GN931" s="3"/>
      <c r="GO931" s="3"/>
      <c r="GP931" s="3"/>
      <c r="GQ931" s="3"/>
      <c r="GR931" s="3"/>
      <c r="GS931" s="3"/>
      <c r="GT931" s="3"/>
      <c r="GU931" s="3"/>
      <c r="GV931" s="3"/>
      <c r="GW931" s="3"/>
      <c r="GX931" s="3"/>
      <c r="GY931" s="3"/>
      <c r="GZ931" s="3"/>
      <c r="HA931" s="3"/>
      <c r="HB931" s="3"/>
      <c r="HC931" s="3"/>
      <c r="HD931" s="3"/>
      <c r="HE931" s="3"/>
      <c r="HF931" s="3"/>
      <c r="HG931" s="3"/>
      <c r="HH931" s="3"/>
      <c r="HI931" s="3"/>
      <c r="HJ931" s="3"/>
      <c r="HK931" s="3"/>
      <c r="HL931" s="3"/>
      <c r="HM931" s="3"/>
      <c r="HN931" s="3"/>
      <c r="HO931" s="3"/>
      <c r="HP931" s="3"/>
      <c r="HQ931" s="3"/>
      <c r="HR931" s="3"/>
      <c r="HS931" s="3"/>
      <c r="HT931" s="3"/>
    </row>
    <row r="932">
      <c r="A932" s="14"/>
      <c r="B932" s="3"/>
      <c r="C932" s="3"/>
      <c r="D932" s="3"/>
      <c r="E932" s="3"/>
      <c r="F932" s="5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7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3"/>
      <c r="FW932" s="3"/>
      <c r="FX932" s="3"/>
      <c r="FY932" s="3"/>
      <c r="FZ932" s="3"/>
      <c r="GA932" s="3"/>
      <c r="GB932" s="3"/>
      <c r="GC932" s="3"/>
      <c r="GD932" s="3"/>
      <c r="GE932" s="3"/>
      <c r="GF932" s="3"/>
      <c r="GG932" s="3"/>
      <c r="GH932" s="3"/>
      <c r="GI932" s="3"/>
      <c r="GJ932" s="3"/>
      <c r="GK932" s="3"/>
      <c r="GL932" s="3"/>
      <c r="GM932" s="3"/>
      <c r="GN932" s="3"/>
      <c r="GO932" s="3"/>
      <c r="GP932" s="3"/>
      <c r="GQ932" s="3"/>
      <c r="GR932" s="3"/>
      <c r="GS932" s="3"/>
      <c r="GT932" s="3"/>
      <c r="GU932" s="3"/>
      <c r="GV932" s="3"/>
      <c r="GW932" s="3"/>
      <c r="GX932" s="3"/>
      <c r="GY932" s="3"/>
      <c r="GZ932" s="3"/>
      <c r="HA932" s="3"/>
      <c r="HB932" s="3"/>
      <c r="HC932" s="3"/>
      <c r="HD932" s="3"/>
      <c r="HE932" s="3"/>
      <c r="HF932" s="3"/>
      <c r="HG932" s="3"/>
      <c r="HH932" s="3"/>
      <c r="HI932" s="3"/>
      <c r="HJ932" s="3"/>
      <c r="HK932" s="3"/>
      <c r="HL932" s="3"/>
      <c r="HM932" s="3"/>
      <c r="HN932" s="3"/>
      <c r="HO932" s="3"/>
      <c r="HP932" s="3"/>
      <c r="HQ932" s="3"/>
      <c r="HR932" s="3"/>
      <c r="HS932" s="3"/>
      <c r="HT932" s="3"/>
    </row>
    <row r="933">
      <c r="A933" s="14"/>
      <c r="B933" s="3"/>
      <c r="C933" s="3"/>
      <c r="D933" s="3"/>
      <c r="E933" s="3"/>
      <c r="F933" s="5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7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3"/>
      <c r="FW933" s="3"/>
      <c r="FX933" s="3"/>
      <c r="FY933" s="3"/>
      <c r="FZ933" s="3"/>
      <c r="GA933" s="3"/>
      <c r="GB933" s="3"/>
      <c r="GC933" s="3"/>
      <c r="GD933" s="3"/>
      <c r="GE933" s="3"/>
      <c r="GF933" s="3"/>
      <c r="GG933" s="3"/>
      <c r="GH933" s="3"/>
      <c r="GI933" s="3"/>
      <c r="GJ933" s="3"/>
      <c r="GK933" s="3"/>
      <c r="GL933" s="3"/>
      <c r="GM933" s="3"/>
      <c r="GN933" s="3"/>
      <c r="GO933" s="3"/>
      <c r="GP933" s="3"/>
      <c r="GQ933" s="3"/>
      <c r="GR933" s="3"/>
      <c r="GS933" s="3"/>
      <c r="GT933" s="3"/>
      <c r="GU933" s="3"/>
      <c r="GV933" s="3"/>
      <c r="GW933" s="3"/>
      <c r="GX933" s="3"/>
      <c r="GY933" s="3"/>
      <c r="GZ933" s="3"/>
      <c r="HA933" s="3"/>
      <c r="HB933" s="3"/>
      <c r="HC933" s="3"/>
      <c r="HD933" s="3"/>
      <c r="HE933" s="3"/>
      <c r="HF933" s="3"/>
      <c r="HG933" s="3"/>
      <c r="HH933" s="3"/>
      <c r="HI933" s="3"/>
      <c r="HJ933" s="3"/>
      <c r="HK933" s="3"/>
      <c r="HL933" s="3"/>
      <c r="HM933" s="3"/>
      <c r="HN933" s="3"/>
      <c r="HO933" s="3"/>
      <c r="HP933" s="3"/>
      <c r="HQ933" s="3"/>
      <c r="HR933" s="3"/>
      <c r="HS933" s="3"/>
      <c r="HT933" s="3"/>
    </row>
    <row r="934">
      <c r="A934" s="14"/>
      <c r="B934" s="3"/>
      <c r="C934" s="3"/>
      <c r="D934" s="3"/>
      <c r="E934" s="3"/>
      <c r="F934" s="5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7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FX934" s="3"/>
      <c r="FY934" s="3"/>
      <c r="FZ934" s="3"/>
      <c r="GA934" s="3"/>
      <c r="GB934" s="3"/>
      <c r="GC934" s="3"/>
      <c r="GD934" s="3"/>
      <c r="GE934" s="3"/>
      <c r="GF934" s="3"/>
      <c r="GG934" s="3"/>
      <c r="GH934" s="3"/>
      <c r="GI934" s="3"/>
      <c r="GJ934" s="3"/>
      <c r="GK934" s="3"/>
      <c r="GL934" s="3"/>
      <c r="GM934" s="3"/>
      <c r="GN934" s="3"/>
      <c r="GO934" s="3"/>
      <c r="GP934" s="3"/>
      <c r="GQ934" s="3"/>
      <c r="GR934" s="3"/>
      <c r="GS934" s="3"/>
      <c r="GT934" s="3"/>
      <c r="GU934" s="3"/>
      <c r="GV934" s="3"/>
      <c r="GW934" s="3"/>
      <c r="GX934" s="3"/>
      <c r="GY934" s="3"/>
      <c r="GZ934" s="3"/>
      <c r="HA934" s="3"/>
      <c r="HB934" s="3"/>
      <c r="HC934" s="3"/>
      <c r="HD934" s="3"/>
      <c r="HE934" s="3"/>
      <c r="HF934" s="3"/>
      <c r="HG934" s="3"/>
      <c r="HH934" s="3"/>
      <c r="HI934" s="3"/>
      <c r="HJ934" s="3"/>
      <c r="HK934" s="3"/>
      <c r="HL934" s="3"/>
      <c r="HM934" s="3"/>
      <c r="HN934" s="3"/>
      <c r="HO934" s="3"/>
      <c r="HP934" s="3"/>
      <c r="HQ934" s="3"/>
      <c r="HR934" s="3"/>
      <c r="HS934" s="3"/>
      <c r="HT934" s="3"/>
    </row>
    <row r="935">
      <c r="A935" s="14"/>
      <c r="B935" s="3"/>
      <c r="C935" s="3"/>
      <c r="D935" s="3"/>
      <c r="E935" s="3"/>
      <c r="F935" s="5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7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3"/>
      <c r="FW935" s="3"/>
      <c r="FX935" s="3"/>
      <c r="FY935" s="3"/>
      <c r="FZ935" s="3"/>
      <c r="GA935" s="3"/>
      <c r="GB935" s="3"/>
      <c r="GC935" s="3"/>
      <c r="GD935" s="3"/>
      <c r="GE935" s="3"/>
      <c r="GF935" s="3"/>
      <c r="GG935" s="3"/>
      <c r="GH935" s="3"/>
      <c r="GI935" s="3"/>
      <c r="GJ935" s="3"/>
      <c r="GK935" s="3"/>
      <c r="GL935" s="3"/>
      <c r="GM935" s="3"/>
      <c r="GN935" s="3"/>
      <c r="GO935" s="3"/>
      <c r="GP935" s="3"/>
      <c r="GQ935" s="3"/>
      <c r="GR935" s="3"/>
      <c r="GS935" s="3"/>
      <c r="GT935" s="3"/>
      <c r="GU935" s="3"/>
      <c r="GV935" s="3"/>
      <c r="GW935" s="3"/>
      <c r="GX935" s="3"/>
      <c r="GY935" s="3"/>
      <c r="GZ935" s="3"/>
      <c r="HA935" s="3"/>
      <c r="HB935" s="3"/>
      <c r="HC935" s="3"/>
      <c r="HD935" s="3"/>
      <c r="HE935" s="3"/>
      <c r="HF935" s="3"/>
      <c r="HG935" s="3"/>
      <c r="HH935" s="3"/>
      <c r="HI935" s="3"/>
      <c r="HJ935" s="3"/>
      <c r="HK935" s="3"/>
      <c r="HL935" s="3"/>
      <c r="HM935" s="3"/>
      <c r="HN935" s="3"/>
      <c r="HO935" s="3"/>
      <c r="HP935" s="3"/>
      <c r="HQ935" s="3"/>
      <c r="HR935" s="3"/>
      <c r="HS935" s="3"/>
      <c r="HT935" s="3"/>
    </row>
    <row r="936">
      <c r="A936" s="14"/>
      <c r="B936" s="3"/>
      <c r="C936" s="3"/>
      <c r="D936" s="3"/>
      <c r="E936" s="3"/>
      <c r="F936" s="5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7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D936" s="3"/>
      <c r="GE936" s="3"/>
      <c r="GF936" s="3"/>
      <c r="GG936" s="3"/>
      <c r="GH936" s="3"/>
      <c r="GI936" s="3"/>
      <c r="GJ936" s="3"/>
      <c r="GK936" s="3"/>
      <c r="GL936" s="3"/>
      <c r="GM936" s="3"/>
      <c r="GN936" s="3"/>
      <c r="GO936" s="3"/>
      <c r="GP936" s="3"/>
      <c r="GQ936" s="3"/>
      <c r="GR936" s="3"/>
      <c r="GS936" s="3"/>
      <c r="GT936" s="3"/>
      <c r="GU936" s="3"/>
      <c r="GV936" s="3"/>
      <c r="GW936" s="3"/>
      <c r="GX936" s="3"/>
      <c r="GY936" s="3"/>
      <c r="GZ936" s="3"/>
      <c r="HA936" s="3"/>
      <c r="HB936" s="3"/>
      <c r="HC936" s="3"/>
      <c r="HD936" s="3"/>
      <c r="HE936" s="3"/>
      <c r="HF936" s="3"/>
      <c r="HG936" s="3"/>
      <c r="HH936" s="3"/>
      <c r="HI936" s="3"/>
      <c r="HJ936" s="3"/>
      <c r="HK936" s="3"/>
      <c r="HL936" s="3"/>
      <c r="HM936" s="3"/>
      <c r="HN936" s="3"/>
      <c r="HO936" s="3"/>
      <c r="HP936" s="3"/>
      <c r="HQ936" s="3"/>
      <c r="HR936" s="3"/>
      <c r="HS936" s="3"/>
      <c r="HT936" s="3"/>
    </row>
    <row r="937">
      <c r="A937" s="14"/>
      <c r="B937" s="3"/>
      <c r="C937" s="3"/>
      <c r="D937" s="3"/>
      <c r="E937" s="3"/>
      <c r="F937" s="5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7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3"/>
      <c r="FW937" s="3"/>
      <c r="FX937" s="3"/>
      <c r="FY937" s="3"/>
      <c r="FZ937" s="3"/>
      <c r="GA937" s="3"/>
      <c r="GB937" s="3"/>
      <c r="GC937" s="3"/>
      <c r="GD937" s="3"/>
      <c r="GE937" s="3"/>
      <c r="GF937" s="3"/>
      <c r="GG937" s="3"/>
      <c r="GH937" s="3"/>
      <c r="GI937" s="3"/>
      <c r="GJ937" s="3"/>
      <c r="GK937" s="3"/>
      <c r="GL937" s="3"/>
      <c r="GM937" s="3"/>
      <c r="GN937" s="3"/>
      <c r="GO937" s="3"/>
      <c r="GP937" s="3"/>
      <c r="GQ937" s="3"/>
      <c r="GR937" s="3"/>
      <c r="GS937" s="3"/>
      <c r="GT937" s="3"/>
      <c r="GU937" s="3"/>
      <c r="GV937" s="3"/>
      <c r="GW937" s="3"/>
      <c r="GX937" s="3"/>
      <c r="GY937" s="3"/>
      <c r="GZ937" s="3"/>
      <c r="HA937" s="3"/>
      <c r="HB937" s="3"/>
      <c r="HC937" s="3"/>
      <c r="HD937" s="3"/>
      <c r="HE937" s="3"/>
      <c r="HF937" s="3"/>
      <c r="HG937" s="3"/>
      <c r="HH937" s="3"/>
      <c r="HI937" s="3"/>
      <c r="HJ937" s="3"/>
      <c r="HK937" s="3"/>
      <c r="HL937" s="3"/>
      <c r="HM937" s="3"/>
      <c r="HN937" s="3"/>
      <c r="HO937" s="3"/>
      <c r="HP937" s="3"/>
      <c r="HQ937" s="3"/>
      <c r="HR937" s="3"/>
      <c r="HS937" s="3"/>
      <c r="HT937" s="3"/>
    </row>
    <row r="938">
      <c r="A938" s="14"/>
      <c r="B938" s="3"/>
      <c r="C938" s="3"/>
      <c r="D938" s="3"/>
      <c r="E938" s="3"/>
      <c r="F938" s="5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7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/>
      <c r="GB938" s="3"/>
      <c r="GC938" s="3"/>
      <c r="GD938" s="3"/>
      <c r="GE938" s="3"/>
      <c r="GF938" s="3"/>
      <c r="GG938" s="3"/>
      <c r="GH938" s="3"/>
      <c r="GI938" s="3"/>
      <c r="GJ938" s="3"/>
      <c r="GK938" s="3"/>
      <c r="GL938" s="3"/>
      <c r="GM938" s="3"/>
      <c r="GN938" s="3"/>
      <c r="GO938" s="3"/>
      <c r="GP938" s="3"/>
      <c r="GQ938" s="3"/>
      <c r="GR938" s="3"/>
      <c r="GS938" s="3"/>
      <c r="GT938" s="3"/>
      <c r="GU938" s="3"/>
      <c r="GV938" s="3"/>
      <c r="GW938" s="3"/>
      <c r="GX938" s="3"/>
      <c r="GY938" s="3"/>
      <c r="GZ938" s="3"/>
      <c r="HA938" s="3"/>
      <c r="HB938" s="3"/>
      <c r="HC938" s="3"/>
      <c r="HD938" s="3"/>
      <c r="HE938" s="3"/>
      <c r="HF938" s="3"/>
      <c r="HG938" s="3"/>
      <c r="HH938" s="3"/>
      <c r="HI938" s="3"/>
      <c r="HJ938" s="3"/>
      <c r="HK938" s="3"/>
      <c r="HL938" s="3"/>
      <c r="HM938" s="3"/>
      <c r="HN938" s="3"/>
      <c r="HO938" s="3"/>
      <c r="HP938" s="3"/>
      <c r="HQ938" s="3"/>
      <c r="HR938" s="3"/>
      <c r="HS938" s="3"/>
      <c r="HT938" s="3"/>
    </row>
    <row r="939">
      <c r="A939" s="14"/>
      <c r="B939" s="3"/>
      <c r="C939" s="3"/>
      <c r="D939" s="3"/>
      <c r="E939" s="3"/>
      <c r="F939" s="5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7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3"/>
      <c r="FW939" s="3"/>
      <c r="FX939" s="3"/>
      <c r="FY939" s="3"/>
      <c r="FZ939" s="3"/>
      <c r="GA939" s="3"/>
      <c r="GB939" s="3"/>
      <c r="GC939" s="3"/>
      <c r="GD939" s="3"/>
      <c r="GE939" s="3"/>
      <c r="GF939" s="3"/>
      <c r="GG939" s="3"/>
      <c r="GH939" s="3"/>
      <c r="GI939" s="3"/>
      <c r="GJ939" s="3"/>
      <c r="GK939" s="3"/>
      <c r="GL939" s="3"/>
      <c r="GM939" s="3"/>
      <c r="GN939" s="3"/>
      <c r="GO939" s="3"/>
      <c r="GP939" s="3"/>
      <c r="GQ939" s="3"/>
      <c r="GR939" s="3"/>
      <c r="GS939" s="3"/>
      <c r="GT939" s="3"/>
      <c r="GU939" s="3"/>
      <c r="GV939" s="3"/>
      <c r="GW939" s="3"/>
      <c r="GX939" s="3"/>
      <c r="GY939" s="3"/>
      <c r="GZ939" s="3"/>
      <c r="HA939" s="3"/>
      <c r="HB939" s="3"/>
      <c r="HC939" s="3"/>
      <c r="HD939" s="3"/>
      <c r="HE939" s="3"/>
      <c r="HF939" s="3"/>
      <c r="HG939" s="3"/>
      <c r="HH939" s="3"/>
      <c r="HI939" s="3"/>
      <c r="HJ939" s="3"/>
      <c r="HK939" s="3"/>
      <c r="HL939" s="3"/>
      <c r="HM939" s="3"/>
      <c r="HN939" s="3"/>
      <c r="HO939" s="3"/>
      <c r="HP939" s="3"/>
      <c r="HQ939" s="3"/>
      <c r="HR939" s="3"/>
      <c r="HS939" s="3"/>
      <c r="HT939" s="3"/>
    </row>
    <row r="940">
      <c r="A940" s="14"/>
      <c r="B940" s="3"/>
      <c r="C940" s="3"/>
      <c r="D940" s="3"/>
      <c r="E940" s="3"/>
      <c r="F940" s="5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7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/>
      <c r="GB940" s="3"/>
      <c r="GC940" s="3"/>
      <c r="GD940" s="3"/>
      <c r="GE940" s="3"/>
      <c r="GF940" s="3"/>
      <c r="GG940" s="3"/>
      <c r="GH940" s="3"/>
      <c r="GI940" s="3"/>
      <c r="GJ940" s="3"/>
      <c r="GK940" s="3"/>
      <c r="GL940" s="3"/>
      <c r="GM940" s="3"/>
      <c r="GN940" s="3"/>
      <c r="GO940" s="3"/>
      <c r="GP940" s="3"/>
      <c r="GQ940" s="3"/>
      <c r="GR940" s="3"/>
      <c r="GS940" s="3"/>
      <c r="GT940" s="3"/>
      <c r="GU940" s="3"/>
      <c r="GV940" s="3"/>
      <c r="GW940" s="3"/>
      <c r="GX940" s="3"/>
      <c r="GY940" s="3"/>
      <c r="GZ940" s="3"/>
      <c r="HA940" s="3"/>
      <c r="HB940" s="3"/>
      <c r="HC940" s="3"/>
      <c r="HD940" s="3"/>
      <c r="HE940" s="3"/>
      <c r="HF940" s="3"/>
      <c r="HG940" s="3"/>
      <c r="HH940" s="3"/>
      <c r="HI940" s="3"/>
      <c r="HJ940" s="3"/>
      <c r="HK940" s="3"/>
      <c r="HL940" s="3"/>
      <c r="HM940" s="3"/>
      <c r="HN940" s="3"/>
      <c r="HO940" s="3"/>
      <c r="HP940" s="3"/>
      <c r="HQ940" s="3"/>
      <c r="HR940" s="3"/>
      <c r="HS940" s="3"/>
      <c r="HT940" s="3"/>
    </row>
    <row r="941">
      <c r="A941" s="14"/>
      <c r="B941" s="3"/>
      <c r="C941" s="3"/>
      <c r="D941" s="3"/>
      <c r="E941" s="3"/>
      <c r="F941" s="5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7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3"/>
      <c r="FW941" s="3"/>
      <c r="FX941" s="3"/>
      <c r="FY941" s="3"/>
      <c r="FZ941" s="3"/>
      <c r="GA941" s="3"/>
      <c r="GB941" s="3"/>
      <c r="GC941" s="3"/>
      <c r="GD941" s="3"/>
      <c r="GE941" s="3"/>
      <c r="GF941" s="3"/>
      <c r="GG941" s="3"/>
      <c r="GH941" s="3"/>
      <c r="GI941" s="3"/>
      <c r="GJ941" s="3"/>
      <c r="GK941" s="3"/>
      <c r="GL941" s="3"/>
      <c r="GM941" s="3"/>
      <c r="GN941" s="3"/>
      <c r="GO941" s="3"/>
      <c r="GP941" s="3"/>
      <c r="GQ941" s="3"/>
      <c r="GR941" s="3"/>
      <c r="GS941" s="3"/>
      <c r="GT941" s="3"/>
      <c r="GU941" s="3"/>
      <c r="GV941" s="3"/>
      <c r="GW941" s="3"/>
      <c r="GX941" s="3"/>
      <c r="GY941" s="3"/>
      <c r="GZ941" s="3"/>
      <c r="HA941" s="3"/>
      <c r="HB941" s="3"/>
      <c r="HC941" s="3"/>
      <c r="HD941" s="3"/>
      <c r="HE941" s="3"/>
      <c r="HF941" s="3"/>
      <c r="HG941" s="3"/>
      <c r="HH941" s="3"/>
      <c r="HI941" s="3"/>
      <c r="HJ941" s="3"/>
      <c r="HK941" s="3"/>
      <c r="HL941" s="3"/>
      <c r="HM941" s="3"/>
      <c r="HN941" s="3"/>
      <c r="HO941" s="3"/>
      <c r="HP941" s="3"/>
      <c r="HQ941" s="3"/>
      <c r="HR941" s="3"/>
      <c r="HS941" s="3"/>
      <c r="HT941" s="3"/>
    </row>
    <row r="942">
      <c r="A942" s="14"/>
      <c r="B942" s="3"/>
      <c r="C942" s="3"/>
      <c r="D942" s="3"/>
      <c r="E942" s="3"/>
      <c r="F942" s="5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7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FX942" s="3"/>
      <c r="FY942" s="3"/>
      <c r="FZ942" s="3"/>
      <c r="GA942" s="3"/>
      <c r="GB942" s="3"/>
      <c r="GC942" s="3"/>
      <c r="GD942" s="3"/>
      <c r="GE942" s="3"/>
      <c r="GF942" s="3"/>
      <c r="GG942" s="3"/>
      <c r="GH942" s="3"/>
      <c r="GI942" s="3"/>
      <c r="GJ942" s="3"/>
      <c r="GK942" s="3"/>
      <c r="GL942" s="3"/>
      <c r="GM942" s="3"/>
      <c r="GN942" s="3"/>
      <c r="GO942" s="3"/>
      <c r="GP942" s="3"/>
      <c r="GQ942" s="3"/>
      <c r="GR942" s="3"/>
      <c r="GS942" s="3"/>
      <c r="GT942" s="3"/>
      <c r="GU942" s="3"/>
      <c r="GV942" s="3"/>
      <c r="GW942" s="3"/>
      <c r="GX942" s="3"/>
      <c r="GY942" s="3"/>
      <c r="GZ942" s="3"/>
      <c r="HA942" s="3"/>
      <c r="HB942" s="3"/>
      <c r="HC942" s="3"/>
      <c r="HD942" s="3"/>
      <c r="HE942" s="3"/>
      <c r="HF942" s="3"/>
      <c r="HG942" s="3"/>
      <c r="HH942" s="3"/>
      <c r="HI942" s="3"/>
      <c r="HJ942" s="3"/>
      <c r="HK942" s="3"/>
      <c r="HL942" s="3"/>
      <c r="HM942" s="3"/>
      <c r="HN942" s="3"/>
      <c r="HO942" s="3"/>
      <c r="HP942" s="3"/>
      <c r="HQ942" s="3"/>
      <c r="HR942" s="3"/>
      <c r="HS942" s="3"/>
      <c r="HT942" s="3"/>
    </row>
    <row r="943">
      <c r="A943" s="14"/>
      <c r="B943" s="3"/>
      <c r="C943" s="3"/>
      <c r="D943" s="3"/>
      <c r="E943" s="3"/>
      <c r="F943" s="5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7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3"/>
      <c r="FW943" s="3"/>
      <c r="FX943" s="3"/>
      <c r="FY943" s="3"/>
      <c r="FZ943" s="3"/>
      <c r="GA943" s="3"/>
      <c r="GB943" s="3"/>
      <c r="GC943" s="3"/>
      <c r="GD943" s="3"/>
      <c r="GE943" s="3"/>
      <c r="GF943" s="3"/>
      <c r="GG943" s="3"/>
      <c r="GH943" s="3"/>
      <c r="GI943" s="3"/>
      <c r="GJ943" s="3"/>
      <c r="GK943" s="3"/>
      <c r="GL943" s="3"/>
      <c r="GM943" s="3"/>
      <c r="GN943" s="3"/>
      <c r="GO943" s="3"/>
      <c r="GP943" s="3"/>
      <c r="GQ943" s="3"/>
      <c r="GR943" s="3"/>
      <c r="GS943" s="3"/>
      <c r="GT943" s="3"/>
      <c r="GU943" s="3"/>
      <c r="GV943" s="3"/>
      <c r="GW943" s="3"/>
      <c r="GX943" s="3"/>
      <c r="GY943" s="3"/>
      <c r="GZ943" s="3"/>
      <c r="HA943" s="3"/>
      <c r="HB943" s="3"/>
      <c r="HC943" s="3"/>
      <c r="HD943" s="3"/>
      <c r="HE943" s="3"/>
      <c r="HF943" s="3"/>
      <c r="HG943" s="3"/>
      <c r="HH943" s="3"/>
      <c r="HI943" s="3"/>
      <c r="HJ943" s="3"/>
      <c r="HK943" s="3"/>
      <c r="HL943" s="3"/>
      <c r="HM943" s="3"/>
      <c r="HN943" s="3"/>
      <c r="HO943" s="3"/>
      <c r="HP943" s="3"/>
      <c r="HQ943" s="3"/>
      <c r="HR943" s="3"/>
      <c r="HS943" s="3"/>
      <c r="HT943" s="3"/>
    </row>
    <row r="944">
      <c r="A944" s="14"/>
      <c r="B944" s="3"/>
      <c r="C944" s="3"/>
      <c r="D944" s="3"/>
      <c r="E944" s="3"/>
      <c r="F944" s="5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7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/>
      <c r="GB944" s="3"/>
      <c r="GC944" s="3"/>
      <c r="GD944" s="3"/>
      <c r="GE944" s="3"/>
      <c r="GF944" s="3"/>
      <c r="GG944" s="3"/>
      <c r="GH944" s="3"/>
      <c r="GI944" s="3"/>
      <c r="GJ944" s="3"/>
      <c r="GK944" s="3"/>
      <c r="GL944" s="3"/>
      <c r="GM944" s="3"/>
      <c r="GN944" s="3"/>
      <c r="GO944" s="3"/>
      <c r="GP944" s="3"/>
      <c r="GQ944" s="3"/>
      <c r="GR944" s="3"/>
      <c r="GS944" s="3"/>
      <c r="GT944" s="3"/>
      <c r="GU944" s="3"/>
      <c r="GV944" s="3"/>
      <c r="GW944" s="3"/>
      <c r="GX944" s="3"/>
      <c r="GY944" s="3"/>
      <c r="GZ944" s="3"/>
      <c r="HA944" s="3"/>
      <c r="HB944" s="3"/>
      <c r="HC944" s="3"/>
      <c r="HD944" s="3"/>
      <c r="HE944" s="3"/>
      <c r="HF944" s="3"/>
      <c r="HG944" s="3"/>
      <c r="HH944" s="3"/>
      <c r="HI944" s="3"/>
      <c r="HJ944" s="3"/>
      <c r="HK944" s="3"/>
      <c r="HL944" s="3"/>
      <c r="HM944" s="3"/>
      <c r="HN944" s="3"/>
      <c r="HO944" s="3"/>
      <c r="HP944" s="3"/>
      <c r="HQ944" s="3"/>
      <c r="HR944" s="3"/>
      <c r="HS944" s="3"/>
      <c r="HT944" s="3"/>
    </row>
    <row r="945">
      <c r="A945" s="14"/>
      <c r="B945" s="3"/>
      <c r="C945" s="3"/>
      <c r="D945" s="3"/>
      <c r="E945" s="3"/>
      <c r="F945" s="5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7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3"/>
      <c r="FW945" s="3"/>
      <c r="FX945" s="3"/>
      <c r="FY945" s="3"/>
      <c r="FZ945" s="3"/>
      <c r="GA945" s="3"/>
      <c r="GB945" s="3"/>
      <c r="GC945" s="3"/>
      <c r="GD945" s="3"/>
      <c r="GE945" s="3"/>
      <c r="GF945" s="3"/>
      <c r="GG945" s="3"/>
      <c r="GH945" s="3"/>
      <c r="GI945" s="3"/>
      <c r="GJ945" s="3"/>
      <c r="GK945" s="3"/>
      <c r="GL945" s="3"/>
      <c r="GM945" s="3"/>
      <c r="GN945" s="3"/>
      <c r="GO945" s="3"/>
      <c r="GP945" s="3"/>
      <c r="GQ945" s="3"/>
      <c r="GR945" s="3"/>
      <c r="GS945" s="3"/>
      <c r="GT945" s="3"/>
      <c r="GU945" s="3"/>
      <c r="GV945" s="3"/>
      <c r="GW945" s="3"/>
      <c r="GX945" s="3"/>
      <c r="GY945" s="3"/>
      <c r="GZ945" s="3"/>
      <c r="HA945" s="3"/>
      <c r="HB945" s="3"/>
      <c r="HC945" s="3"/>
      <c r="HD945" s="3"/>
      <c r="HE945" s="3"/>
      <c r="HF945" s="3"/>
      <c r="HG945" s="3"/>
      <c r="HH945" s="3"/>
      <c r="HI945" s="3"/>
      <c r="HJ945" s="3"/>
      <c r="HK945" s="3"/>
      <c r="HL945" s="3"/>
      <c r="HM945" s="3"/>
      <c r="HN945" s="3"/>
      <c r="HO945" s="3"/>
      <c r="HP945" s="3"/>
      <c r="HQ945" s="3"/>
      <c r="HR945" s="3"/>
      <c r="HS945" s="3"/>
      <c r="HT945" s="3"/>
    </row>
    <row r="946">
      <c r="A946" s="14"/>
      <c r="B946" s="3"/>
      <c r="C946" s="3"/>
      <c r="D946" s="3"/>
      <c r="E946" s="3"/>
      <c r="F946" s="5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7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3"/>
      <c r="FW946" s="3"/>
      <c r="FX946" s="3"/>
      <c r="FY946" s="3"/>
      <c r="FZ946" s="3"/>
      <c r="GA946" s="3"/>
      <c r="GB946" s="3"/>
      <c r="GC946" s="3"/>
      <c r="GD946" s="3"/>
      <c r="GE946" s="3"/>
      <c r="GF946" s="3"/>
      <c r="GG946" s="3"/>
      <c r="GH946" s="3"/>
      <c r="GI946" s="3"/>
      <c r="GJ946" s="3"/>
      <c r="GK946" s="3"/>
      <c r="GL946" s="3"/>
      <c r="GM946" s="3"/>
      <c r="GN946" s="3"/>
      <c r="GO946" s="3"/>
      <c r="GP946" s="3"/>
      <c r="GQ946" s="3"/>
      <c r="GR946" s="3"/>
      <c r="GS946" s="3"/>
      <c r="GT946" s="3"/>
      <c r="GU946" s="3"/>
      <c r="GV946" s="3"/>
      <c r="GW946" s="3"/>
      <c r="GX946" s="3"/>
      <c r="GY946" s="3"/>
      <c r="GZ946" s="3"/>
      <c r="HA946" s="3"/>
      <c r="HB946" s="3"/>
      <c r="HC946" s="3"/>
      <c r="HD946" s="3"/>
      <c r="HE946" s="3"/>
      <c r="HF946" s="3"/>
      <c r="HG946" s="3"/>
      <c r="HH946" s="3"/>
      <c r="HI946" s="3"/>
      <c r="HJ946" s="3"/>
      <c r="HK946" s="3"/>
      <c r="HL946" s="3"/>
      <c r="HM946" s="3"/>
      <c r="HN946" s="3"/>
      <c r="HO946" s="3"/>
      <c r="HP946" s="3"/>
      <c r="HQ946" s="3"/>
      <c r="HR946" s="3"/>
      <c r="HS946" s="3"/>
      <c r="HT946" s="3"/>
    </row>
    <row r="947">
      <c r="A947" s="14"/>
      <c r="B947" s="3"/>
      <c r="C947" s="3"/>
      <c r="D947" s="3"/>
      <c r="E947" s="3"/>
      <c r="F947" s="5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7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3"/>
      <c r="FW947" s="3"/>
      <c r="FX947" s="3"/>
      <c r="FY947" s="3"/>
      <c r="FZ947" s="3"/>
      <c r="GA947" s="3"/>
      <c r="GB947" s="3"/>
      <c r="GC947" s="3"/>
      <c r="GD947" s="3"/>
      <c r="GE947" s="3"/>
      <c r="GF947" s="3"/>
      <c r="GG947" s="3"/>
      <c r="GH947" s="3"/>
      <c r="GI947" s="3"/>
      <c r="GJ947" s="3"/>
      <c r="GK947" s="3"/>
      <c r="GL947" s="3"/>
      <c r="GM947" s="3"/>
      <c r="GN947" s="3"/>
      <c r="GO947" s="3"/>
      <c r="GP947" s="3"/>
      <c r="GQ947" s="3"/>
      <c r="GR947" s="3"/>
      <c r="GS947" s="3"/>
      <c r="GT947" s="3"/>
      <c r="GU947" s="3"/>
      <c r="GV947" s="3"/>
      <c r="GW947" s="3"/>
      <c r="GX947" s="3"/>
      <c r="GY947" s="3"/>
      <c r="GZ947" s="3"/>
      <c r="HA947" s="3"/>
      <c r="HB947" s="3"/>
      <c r="HC947" s="3"/>
      <c r="HD947" s="3"/>
      <c r="HE947" s="3"/>
      <c r="HF947" s="3"/>
      <c r="HG947" s="3"/>
      <c r="HH947" s="3"/>
      <c r="HI947" s="3"/>
      <c r="HJ947" s="3"/>
      <c r="HK947" s="3"/>
      <c r="HL947" s="3"/>
      <c r="HM947" s="3"/>
      <c r="HN947" s="3"/>
      <c r="HO947" s="3"/>
      <c r="HP947" s="3"/>
      <c r="HQ947" s="3"/>
      <c r="HR947" s="3"/>
      <c r="HS947" s="3"/>
      <c r="HT947" s="3"/>
    </row>
    <row r="948">
      <c r="A948" s="14"/>
      <c r="B948" s="3"/>
      <c r="C948" s="3"/>
      <c r="D948" s="3"/>
      <c r="E948" s="3"/>
      <c r="F948" s="5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7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3"/>
      <c r="FW948" s="3"/>
      <c r="FX948" s="3"/>
      <c r="FY948" s="3"/>
      <c r="FZ948" s="3"/>
      <c r="GA948" s="3"/>
      <c r="GB948" s="3"/>
      <c r="GC948" s="3"/>
      <c r="GD948" s="3"/>
      <c r="GE948" s="3"/>
      <c r="GF948" s="3"/>
      <c r="GG948" s="3"/>
      <c r="GH948" s="3"/>
      <c r="GI948" s="3"/>
      <c r="GJ948" s="3"/>
      <c r="GK948" s="3"/>
      <c r="GL948" s="3"/>
      <c r="GM948" s="3"/>
      <c r="GN948" s="3"/>
      <c r="GO948" s="3"/>
      <c r="GP948" s="3"/>
      <c r="GQ948" s="3"/>
      <c r="GR948" s="3"/>
      <c r="GS948" s="3"/>
      <c r="GT948" s="3"/>
      <c r="GU948" s="3"/>
      <c r="GV948" s="3"/>
      <c r="GW948" s="3"/>
      <c r="GX948" s="3"/>
      <c r="GY948" s="3"/>
      <c r="GZ948" s="3"/>
      <c r="HA948" s="3"/>
      <c r="HB948" s="3"/>
      <c r="HC948" s="3"/>
      <c r="HD948" s="3"/>
      <c r="HE948" s="3"/>
      <c r="HF948" s="3"/>
      <c r="HG948" s="3"/>
      <c r="HH948" s="3"/>
      <c r="HI948" s="3"/>
      <c r="HJ948" s="3"/>
      <c r="HK948" s="3"/>
      <c r="HL948" s="3"/>
      <c r="HM948" s="3"/>
      <c r="HN948" s="3"/>
      <c r="HO948" s="3"/>
      <c r="HP948" s="3"/>
      <c r="HQ948" s="3"/>
      <c r="HR948" s="3"/>
      <c r="HS948" s="3"/>
      <c r="HT948" s="3"/>
    </row>
    <row r="949">
      <c r="A949" s="14"/>
      <c r="B949" s="3"/>
      <c r="C949" s="3"/>
      <c r="D949" s="3"/>
      <c r="E949" s="3"/>
      <c r="F949" s="5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7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3"/>
      <c r="FW949" s="3"/>
      <c r="FX949" s="3"/>
      <c r="FY949" s="3"/>
      <c r="FZ949" s="3"/>
      <c r="GA949" s="3"/>
      <c r="GB949" s="3"/>
      <c r="GC949" s="3"/>
      <c r="GD949" s="3"/>
      <c r="GE949" s="3"/>
      <c r="GF949" s="3"/>
      <c r="GG949" s="3"/>
      <c r="GH949" s="3"/>
      <c r="GI949" s="3"/>
      <c r="GJ949" s="3"/>
      <c r="GK949" s="3"/>
      <c r="GL949" s="3"/>
      <c r="GM949" s="3"/>
      <c r="GN949" s="3"/>
      <c r="GO949" s="3"/>
      <c r="GP949" s="3"/>
      <c r="GQ949" s="3"/>
      <c r="GR949" s="3"/>
      <c r="GS949" s="3"/>
      <c r="GT949" s="3"/>
      <c r="GU949" s="3"/>
      <c r="GV949" s="3"/>
      <c r="GW949" s="3"/>
      <c r="GX949" s="3"/>
      <c r="GY949" s="3"/>
      <c r="GZ949" s="3"/>
      <c r="HA949" s="3"/>
      <c r="HB949" s="3"/>
      <c r="HC949" s="3"/>
      <c r="HD949" s="3"/>
      <c r="HE949" s="3"/>
      <c r="HF949" s="3"/>
      <c r="HG949" s="3"/>
      <c r="HH949" s="3"/>
      <c r="HI949" s="3"/>
      <c r="HJ949" s="3"/>
      <c r="HK949" s="3"/>
      <c r="HL949" s="3"/>
      <c r="HM949" s="3"/>
      <c r="HN949" s="3"/>
      <c r="HO949" s="3"/>
      <c r="HP949" s="3"/>
      <c r="HQ949" s="3"/>
      <c r="HR949" s="3"/>
      <c r="HS949" s="3"/>
      <c r="HT949" s="3"/>
    </row>
    <row r="950">
      <c r="A950" s="14"/>
      <c r="B950" s="3"/>
      <c r="C950" s="3"/>
      <c r="D950" s="3"/>
      <c r="E950" s="3"/>
      <c r="F950" s="5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7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EY950" s="3"/>
      <c r="EZ950" s="3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3"/>
      <c r="FW950" s="3"/>
      <c r="FX950" s="3"/>
      <c r="FY950" s="3"/>
      <c r="FZ950" s="3"/>
      <c r="GA950" s="3"/>
      <c r="GB950" s="3"/>
      <c r="GC950" s="3"/>
      <c r="GD950" s="3"/>
      <c r="GE950" s="3"/>
      <c r="GF950" s="3"/>
      <c r="GG950" s="3"/>
      <c r="GH950" s="3"/>
      <c r="GI950" s="3"/>
      <c r="GJ950" s="3"/>
      <c r="GK950" s="3"/>
      <c r="GL950" s="3"/>
      <c r="GM950" s="3"/>
      <c r="GN950" s="3"/>
      <c r="GO950" s="3"/>
      <c r="GP950" s="3"/>
      <c r="GQ950" s="3"/>
      <c r="GR950" s="3"/>
      <c r="GS950" s="3"/>
      <c r="GT950" s="3"/>
      <c r="GU950" s="3"/>
      <c r="GV950" s="3"/>
      <c r="GW950" s="3"/>
      <c r="GX950" s="3"/>
      <c r="GY950" s="3"/>
      <c r="GZ950" s="3"/>
      <c r="HA950" s="3"/>
      <c r="HB950" s="3"/>
      <c r="HC950" s="3"/>
      <c r="HD950" s="3"/>
      <c r="HE950" s="3"/>
      <c r="HF950" s="3"/>
      <c r="HG950" s="3"/>
      <c r="HH950" s="3"/>
      <c r="HI950" s="3"/>
      <c r="HJ950" s="3"/>
      <c r="HK950" s="3"/>
      <c r="HL950" s="3"/>
      <c r="HM950" s="3"/>
      <c r="HN950" s="3"/>
      <c r="HO950" s="3"/>
      <c r="HP950" s="3"/>
      <c r="HQ950" s="3"/>
      <c r="HR950" s="3"/>
      <c r="HS950" s="3"/>
      <c r="HT950" s="3"/>
    </row>
    <row r="951">
      <c r="A951" s="14"/>
      <c r="B951" s="3"/>
      <c r="C951" s="3"/>
      <c r="D951" s="3"/>
      <c r="E951" s="3"/>
      <c r="F951" s="5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7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3"/>
      <c r="FW951" s="3"/>
      <c r="FX951" s="3"/>
      <c r="FY951" s="3"/>
      <c r="FZ951" s="3"/>
      <c r="GA951" s="3"/>
      <c r="GB951" s="3"/>
      <c r="GC951" s="3"/>
      <c r="GD951" s="3"/>
      <c r="GE951" s="3"/>
      <c r="GF951" s="3"/>
      <c r="GG951" s="3"/>
      <c r="GH951" s="3"/>
      <c r="GI951" s="3"/>
      <c r="GJ951" s="3"/>
      <c r="GK951" s="3"/>
      <c r="GL951" s="3"/>
      <c r="GM951" s="3"/>
      <c r="GN951" s="3"/>
      <c r="GO951" s="3"/>
      <c r="GP951" s="3"/>
      <c r="GQ951" s="3"/>
      <c r="GR951" s="3"/>
      <c r="GS951" s="3"/>
      <c r="GT951" s="3"/>
      <c r="GU951" s="3"/>
      <c r="GV951" s="3"/>
      <c r="GW951" s="3"/>
      <c r="GX951" s="3"/>
      <c r="GY951" s="3"/>
      <c r="GZ951" s="3"/>
      <c r="HA951" s="3"/>
      <c r="HB951" s="3"/>
      <c r="HC951" s="3"/>
      <c r="HD951" s="3"/>
      <c r="HE951" s="3"/>
      <c r="HF951" s="3"/>
      <c r="HG951" s="3"/>
      <c r="HH951" s="3"/>
      <c r="HI951" s="3"/>
      <c r="HJ951" s="3"/>
      <c r="HK951" s="3"/>
      <c r="HL951" s="3"/>
      <c r="HM951" s="3"/>
      <c r="HN951" s="3"/>
      <c r="HO951" s="3"/>
      <c r="HP951" s="3"/>
      <c r="HQ951" s="3"/>
      <c r="HR951" s="3"/>
      <c r="HS951" s="3"/>
      <c r="HT951" s="3"/>
    </row>
    <row r="952">
      <c r="A952" s="14"/>
      <c r="B952" s="3"/>
      <c r="C952" s="3"/>
      <c r="D952" s="3"/>
      <c r="E952" s="3"/>
      <c r="F952" s="5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7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FX952" s="3"/>
      <c r="FY952" s="3"/>
      <c r="FZ952" s="3"/>
      <c r="GA952" s="3"/>
      <c r="GB952" s="3"/>
      <c r="GC952" s="3"/>
      <c r="GD952" s="3"/>
      <c r="GE952" s="3"/>
      <c r="GF952" s="3"/>
      <c r="GG952" s="3"/>
      <c r="GH952" s="3"/>
      <c r="GI952" s="3"/>
      <c r="GJ952" s="3"/>
      <c r="GK952" s="3"/>
      <c r="GL952" s="3"/>
      <c r="GM952" s="3"/>
      <c r="GN952" s="3"/>
      <c r="GO952" s="3"/>
      <c r="GP952" s="3"/>
      <c r="GQ952" s="3"/>
      <c r="GR952" s="3"/>
      <c r="GS952" s="3"/>
      <c r="GT952" s="3"/>
      <c r="GU952" s="3"/>
      <c r="GV952" s="3"/>
      <c r="GW952" s="3"/>
      <c r="GX952" s="3"/>
      <c r="GY952" s="3"/>
      <c r="GZ952" s="3"/>
      <c r="HA952" s="3"/>
      <c r="HB952" s="3"/>
      <c r="HC952" s="3"/>
      <c r="HD952" s="3"/>
      <c r="HE952" s="3"/>
      <c r="HF952" s="3"/>
      <c r="HG952" s="3"/>
      <c r="HH952" s="3"/>
      <c r="HI952" s="3"/>
      <c r="HJ952" s="3"/>
      <c r="HK952" s="3"/>
      <c r="HL952" s="3"/>
      <c r="HM952" s="3"/>
      <c r="HN952" s="3"/>
      <c r="HO952" s="3"/>
      <c r="HP952" s="3"/>
      <c r="HQ952" s="3"/>
      <c r="HR952" s="3"/>
      <c r="HS952" s="3"/>
      <c r="HT952" s="3"/>
    </row>
    <row r="953">
      <c r="A953" s="14"/>
      <c r="B953" s="3"/>
      <c r="C953" s="3"/>
      <c r="D953" s="3"/>
      <c r="E953" s="3"/>
      <c r="F953" s="5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7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3"/>
      <c r="FW953" s="3"/>
      <c r="FX953" s="3"/>
      <c r="FY953" s="3"/>
      <c r="FZ953" s="3"/>
      <c r="GA953" s="3"/>
      <c r="GB953" s="3"/>
      <c r="GC953" s="3"/>
      <c r="GD953" s="3"/>
      <c r="GE953" s="3"/>
      <c r="GF953" s="3"/>
      <c r="GG953" s="3"/>
      <c r="GH953" s="3"/>
      <c r="GI953" s="3"/>
      <c r="GJ953" s="3"/>
      <c r="GK953" s="3"/>
      <c r="GL953" s="3"/>
      <c r="GM953" s="3"/>
      <c r="GN953" s="3"/>
      <c r="GO953" s="3"/>
      <c r="GP953" s="3"/>
      <c r="GQ953" s="3"/>
      <c r="GR953" s="3"/>
      <c r="GS953" s="3"/>
      <c r="GT953" s="3"/>
      <c r="GU953" s="3"/>
      <c r="GV953" s="3"/>
      <c r="GW953" s="3"/>
      <c r="GX953" s="3"/>
      <c r="GY953" s="3"/>
      <c r="GZ953" s="3"/>
      <c r="HA953" s="3"/>
      <c r="HB953" s="3"/>
      <c r="HC953" s="3"/>
      <c r="HD953" s="3"/>
      <c r="HE953" s="3"/>
      <c r="HF953" s="3"/>
      <c r="HG953" s="3"/>
      <c r="HH953" s="3"/>
      <c r="HI953" s="3"/>
      <c r="HJ953" s="3"/>
      <c r="HK953" s="3"/>
      <c r="HL953" s="3"/>
      <c r="HM953" s="3"/>
      <c r="HN953" s="3"/>
      <c r="HO953" s="3"/>
      <c r="HP953" s="3"/>
      <c r="HQ953" s="3"/>
      <c r="HR953" s="3"/>
      <c r="HS953" s="3"/>
      <c r="HT953" s="3"/>
    </row>
    <row r="954">
      <c r="A954" s="14"/>
      <c r="B954" s="3"/>
      <c r="C954" s="3"/>
      <c r="D954" s="3"/>
      <c r="E954" s="3"/>
      <c r="F954" s="5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7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FX954" s="3"/>
      <c r="FY954" s="3"/>
      <c r="FZ954" s="3"/>
      <c r="GA954" s="3"/>
      <c r="GB954" s="3"/>
      <c r="GC954" s="3"/>
      <c r="GD954" s="3"/>
      <c r="GE954" s="3"/>
      <c r="GF954" s="3"/>
      <c r="GG954" s="3"/>
      <c r="GH954" s="3"/>
      <c r="GI954" s="3"/>
      <c r="GJ954" s="3"/>
      <c r="GK954" s="3"/>
      <c r="GL954" s="3"/>
      <c r="GM954" s="3"/>
      <c r="GN954" s="3"/>
      <c r="GO954" s="3"/>
      <c r="GP954" s="3"/>
      <c r="GQ954" s="3"/>
      <c r="GR954" s="3"/>
      <c r="GS954" s="3"/>
      <c r="GT954" s="3"/>
      <c r="GU954" s="3"/>
      <c r="GV954" s="3"/>
      <c r="GW954" s="3"/>
      <c r="GX954" s="3"/>
      <c r="GY954" s="3"/>
      <c r="GZ954" s="3"/>
      <c r="HA954" s="3"/>
      <c r="HB954" s="3"/>
      <c r="HC954" s="3"/>
      <c r="HD954" s="3"/>
      <c r="HE954" s="3"/>
      <c r="HF954" s="3"/>
      <c r="HG954" s="3"/>
      <c r="HH954" s="3"/>
      <c r="HI954" s="3"/>
      <c r="HJ954" s="3"/>
      <c r="HK954" s="3"/>
      <c r="HL954" s="3"/>
      <c r="HM954" s="3"/>
      <c r="HN954" s="3"/>
      <c r="HO954" s="3"/>
      <c r="HP954" s="3"/>
      <c r="HQ954" s="3"/>
      <c r="HR954" s="3"/>
      <c r="HS954" s="3"/>
      <c r="HT954" s="3"/>
    </row>
    <row r="955">
      <c r="A955" s="14"/>
      <c r="B955" s="3"/>
      <c r="C955" s="3"/>
      <c r="D955" s="3"/>
      <c r="E955" s="3"/>
      <c r="F955" s="5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7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3"/>
      <c r="FW955" s="3"/>
      <c r="FX955" s="3"/>
      <c r="FY955" s="3"/>
      <c r="FZ955" s="3"/>
      <c r="GA955" s="3"/>
      <c r="GB955" s="3"/>
      <c r="GC955" s="3"/>
      <c r="GD955" s="3"/>
      <c r="GE955" s="3"/>
      <c r="GF955" s="3"/>
      <c r="GG955" s="3"/>
      <c r="GH955" s="3"/>
      <c r="GI955" s="3"/>
      <c r="GJ955" s="3"/>
      <c r="GK955" s="3"/>
      <c r="GL955" s="3"/>
      <c r="GM955" s="3"/>
      <c r="GN955" s="3"/>
      <c r="GO955" s="3"/>
      <c r="GP955" s="3"/>
      <c r="GQ955" s="3"/>
      <c r="GR955" s="3"/>
      <c r="GS955" s="3"/>
      <c r="GT955" s="3"/>
      <c r="GU955" s="3"/>
      <c r="GV955" s="3"/>
      <c r="GW955" s="3"/>
      <c r="GX955" s="3"/>
      <c r="GY955" s="3"/>
      <c r="GZ955" s="3"/>
      <c r="HA955" s="3"/>
      <c r="HB955" s="3"/>
      <c r="HC955" s="3"/>
      <c r="HD955" s="3"/>
      <c r="HE955" s="3"/>
      <c r="HF955" s="3"/>
      <c r="HG955" s="3"/>
      <c r="HH955" s="3"/>
      <c r="HI955" s="3"/>
      <c r="HJ955" s="3"/>
      <c r="HK955" s="3"/>
      <c r="HL955" s="3"/>
      <c r="HM955" s="3"/>
      <c r="HN955" s="3"/>
      <c r="HO955" s="3"/>
      <c r="HP955" s="3"/>
      <c r="HQ955" s="3"/>
      <c r="HR955" s="3"/>
      <c r="HS955" s="3"/>
      <c r="HT955" s="3"/>
    </row>
    <row r="956">
      <c r="A956" s="14"/>
      <c r="B956" s="3"/>
      <c r="C956" s="3"/>
      <c r="D956" s="3"/>
      <c r="E956" s="3"/>
      <c r="F956" s="5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7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D956" s="3"/>
      <c r="GE956" s="3"/>
      <c r="GF956" s="3"/>
      <c r="GG956" s="3"/>
      <c r="GH956" s="3"/>
      <c r="GI956" s="3"/>
      <c r="GJ956" s="3"/>
      <c r="GK956" s="3"/>
      <c r="GL956" s="3"/>
      <c r="GM956" s="3"/>
      <c r="GN956" s="3"/>
      <c r="GO956" s="3"/>
      <c r="GP956" s="3"/>
      <c r="GQ956" s="3"/>
      <c r="GR956" s="3"/>
      <c r="GS956" s="3"/>
      <c r="GT956" s="3"/>
      <c r="GU956" s="3"/>
      <c r="GV956" s="3"/>
      <c r="GW956" s="3"/>
      <c r="GX956" s="3"/>
      <c r="GY956" s="3"/>
      <c r="GZ956" s="3"/>
      <c r="HA956" s="3"/>
      <c r="HB956" s="3"/>
      <c r="HC956" s="3"/>
      <c r="HD956" s="3"/>
      <c r="HE956" s="3"/>
      <c r="HF956" s="3"/>
      <c r="HG956" s="3"/>
      <c r="HH956" s="3"/>
      <c r="HI956" s="3"/>
      <c r="HJ956" s="3"/>
      <c r="HK956" s="3"/>
      <c r="HL956" s="3"/>
      <c r="HM956" s="3"/>
      <c r="HN956" s="3"/>
      <c r="HO956" s="3"/>
      <c r="HP956" s="3"/>
      <c r="HQ956" s="3"/>
      <c r="HR956" s="3"/>
      <c r="HS956" s="3"/>
      <c r="HT956" s="3"/>
    </row>
    <row r="957">
      <c r="A957" s="14"/>
      <c r="B957" s="3"/>
      <c r="C957" s="3"/>
      <c r="D957" s="3"/>
      <c r="E957" s="3"/>
      <c r="F957" s="5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7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3"/>
      <c r="FW957" s="3"/>
      <c r="FX957" s="3"/>
      <c r="FY957" s="3"/>
      <c r="FZ957" s="3"/>
      <c r="GA957" s="3"/>
      <c r="GB957" s="3"/>
      <c r="GC957" s="3"/>
      <c r="GD957" s="3"/>
      <c r="GE957" s="3"/>
      <c r="GF957" s="3"/>
      <c r="GG957" s="3"/>
      <c r="GH957" s="3"/>
      <c r="GI957" s="3"/>
      <c r="GJ957" s="3"/>
      <c r="GK957" s="3"/>
      <c r="GL957" s="3"/>
      <c r="GM957" s="3"/>
      <c r="GN957" s="3"/>
      <c r="GO957" s="3"/>
      <c r="GP957" s="3"/>
      <c r="GQ957" s="3"/>
      <c r="GR957" s="3"/>
      <c r="GS957" s="3"/>
      <c r="GT957" s="3"/>
      <c r="GU957" s="3"/>
      <c r="GV957" s="3"/>
      <c r="GW957" s="3"/>
      <c r="GX957" s="3"/>
      <c r="GY957" s="3"/>
      <c r="GZ957" s="3"/>
      <c r="HA957" s="3"/>
      <c r="HB957" s="3"/>
      <c r="HC957" s="3"/>
      <c r="HD957" s="3"/>
      <c r="HE957" s="3"/>
      <c r="HF957" s="3"/>
      <c r="HG957" s="3"/>
      <c r="HH957" s="3"/>
      <c r="HI957" s="3"/>
      <c r="HJ957" s="3"/>
      <c r="HK957" s="3"/>
      <c r="HL957" s="3"/>
      <c r="HM957" s="3"/>
      <c r="HN957" s="3"/>
      <c r="HO957" s="3"/>
      <c r="HP957" s="3"/>
      <c r="HQ957" s="3"/>
      <c r="HR957" s="3"/>
      <c r="HS957" s="3"/>
      <c r="HT957" s="3"/>
    </row>
    <row r="958">
      <c r="A958" s="14"/>
      <c r="B958" s="3"/>
      <c r="C958" s="3"/>
      <c r="D958" s="3"/>
      <c r="E958" s="3"/>
      <c r="F958" s="5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7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3"/>
      <c r="FW958" s="3"/>
      <c r="FX958" s="3"/>
      <c r="FY958" s="3"/>
      <c r="FZ958" s="3"/>
      <c r="GA958" s="3"/>
      <c r="GB958" s="3"/>
      <c r="GC958" s="3"/>
      <c r="GD958" s="3"/>
      <c r="GE958" s="3"/>
      <c r="GF958" s="3"/>
      <c r="GG958" s="3"/>
      <c r="GH958" s="3"/>
      <c r="GI958" s="3"/>
      <c r="GJ958" s="3"/>
      <c r="GK958" s="3"/>
      <c r="GL958" s="3"/>
      <c r="GM958" s="3"/>
      <c r="GN958" s="3"/>
      <c r="GO958" s="3"/>
      <c r="GP958" s="3"/>
      <c r="GQ958" s="3"/>
      <c r="GR958" s="3"/>
      <c r="GS958" s="3"/>
      <c r="GT958" s="3"/>
      <c r="GU958" s="3"/>
      <c r="GV958" s="3"/>
      <c r="GW958" s="3"/>
      <c r="GX958" s="3"/>
      <c r="GY958" s="3"/>
      <c r="GZ958" s="3"/>
      <c r="HA958" s="3"/>
      <c r="HB958" s="3"/>
      <c r="HC958" s="3"/>
      <c r="HD958" s="3"/>
      <c r="HE958" s="3"/>
      <c r="HF958" s="3"/>
      <c r="HG958" s="3"/>
      <c r="HH958" s="3"/>
      <c r="HI958" s="3"/>
      <c r="HJ958" s="3"/>
      <c r="HK958" s="3"/>
      <c r="HL958" s="3"/>
      <c r="HM958" s="3"/>
      <c r="HN958" s="3"/>
      <c r="HO958" s="3"/>
      <c r="HP958" s="3"/>
      <c r="HQ958" s="3"/>
      <c r="HR958" s="3"/>
      <c r="HS958" s="3"/>
      <c r="HT958" s="3"/>
    </row>
    <row r="959">
      <c r="A959" s="14"/>
      <c r="B959" s="3"/>
      <c r="C959" s="3"/>
      <c r="D959" s="3"/>
      <c r="E959" s="3"/>
      <c r="F959" s="5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7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EY959" s="3"/>
      <c r="EZ959" s="3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3"/>
      <c r="FW959" s="3"/>
      <c r="FX959" s="3"/>
      <c r="FY959" s="3"/>
      <c r="FZ959" s="3"/>
      <c r="GA959" s="3"/>
      <c r="GB959" s="3"/>
      <c r="GC959" s="3"/>
      <c r="GD959" s="3"/>
      <c r="GE959" s="3"/>
      <c r="GF959" s="3"/>
      <c r="GG959" s="3"/>
      <c r="GH959" s="3"/>
      <c r="GI959" s="3"/>
      <c r="GJ959" s="3"/>
      <c r="GK959" s="3"/>
      <c r="GL959" s="3"/>
      <c r="GM959" s="3"/>
      <c r="GN959" s="3"/>
      <c r="GO959" s="3"/>
      <c r="GP959" s="3"/>
      <c r="GQ959" s="3"/>
      <c r="GR959" s="3"/>
      <c r="GS959" s="3"/>
      <c r="GT959" s="3"/>
      <c r="GU959" s="3"/>
      <c r="GV959" s="3"/>
      <c r="GW959" s="3"/>
      <c r="GX959" s="3"/>
      <c r="GY959" s="3"/>
      <c r="GZ959" s="3"/>
      <c r="HA959" s="3"/>
      <c r="HB959" s="3"/>
      <c r="HC959" s="3"/>
      <c r="HD959" s="3"/>
      <c r="HE959" s="3"/>
      <c r="HF959" s="3"/>
      <c r="HG959" s="3"/>
      <c r="HH959" s="3"/>
      <c r="HI959" s="3"/>
      <c r="HJ959" s="3"/>
      <c r="HK959" s="3"/>
      <c r="HL959" s="3"/>
      <c r="HM959" s="3"/>
      <c r="HN959" s="3"/>
      <c r="HO959" s="3"/>
      <c r="HP959" s="3"/>
      <c r="HQ959" s="3"/>
      <c r="HR959" s="3"/>
      <c r="HS959" s="3"/>
      <c r="HT959" s="3"/>
    </row>
    <row r="960">
      <c r="A960" s="14"/>
      <c r="B960" s="3"/>
      <c r="C960" s="3"/>
      <c r="D960" s="3"/>
      <c r="E960" s="3"/>
      <c r="F960" s="5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7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/>
      <c r="FX960" s="3"/>
      <c r="FY960" s="3"/>
      <c r="FZ960" s="3"/>
      <c r="GA960" s="3"/>
      <c r="GB960" s="3"/>
      <c r="GC960" s="3"/>
      <c r="GD960" s="3"/>
      <c r="GE960" s="3"/>
      <c r="GF960" s="3"/>
      <c r="GG960" s="3"/>
      <c r="GH960" s="3"/>
      <c r="GI960" s="3"/>
      <c r="GJ960" s="3"/>
      <c r="GK960" s="3"/>
      <c r="GL960" s="3"/>
      <c r="GM960" s="3"/>
      <c r="GN960" s="3"/>
      <c r="GO960" s="3"/>
      <c r="GP960" s="3"/>
      <c r="GQ960" s="3"/>
      <c r="GR960" s="3"/>
      <c r="GS960" s="3"/>
      <c r="GT960" s="3"/>
      <c r="GU960" s="3"/>
      <c r="GV960" s="3"/>
      <c r="GW960" s="3"/>
      <c r="GX960" s="3"/>
      <c r="GY960" s="3"/>
      <c r="GZ960" s="3"/>
      <c r="HA960" s="3"/>
      <c r="HB960" s="3"/>
      <c r="HC960" s="3"/>
      <c r="HD960" s="3"/>
      <c r="HE960" s="3"/>
      <c r="HF960" s="3"/>
      <c r="HG960" s="3"/>
      <c r="HH960" s="3"/>
      <c r="HI960" s="3"/>
      <c r="HJ960" s="3"/>
      <c r="HK960" s="3"/>
      <c r="HL960" s="3"/>
      <c r="HM960" s="3"/>
      <c r="HN960" s="3"/>
      <c r="HO960" s="3"/>
      <c r="HP960" s="3"/>
      <c r="HQ960" s="3"/>
      <c r="HR960" s="3"/>
      <c r="HS960" s="3"/>
      <c r="HT960" s="3"/>
    </row>
    <row r="961">
      <c r="A961" s="14"/>
      <c r="B961" s="3"/>
      <c r="C961" s="3"/>
      <c r="D961" s="3"/>
      <c r="E961" s="3"/>
      <c r="F961" s="5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7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3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3"/>
      <c r="FU961" s="3"/>
      <c r="FV961" s="3"/>
      <c r="FW961" s="3"/>
      <c r="FX961" s="3"/>
      <c r="FY961" s="3"/>
      <c r="FZ961" s="3"/>
      <c r="GA961" s="3"/>
      <c r="GB961" s="3"/>
      <c r="GC961" s="3"/>
      <c r="GD961" s="3"/>
      <c r="GE961" s="3"/>
      <c r="GF961" s="3"/>
      <c r="GG961" s="3"/>
      <c r="GH961" s="3"/>
      <c r="GI961" s="3"/>
      <c r="GJ961" s="3"/>
      <c r="GK961" s="3"/>
      <c r="GL961" s="3"/>
      <c r="GM961" s="3"/>
      <c r="GN961" s="3"/>
      <c r="GO961" s="3"/>
      <c r="GP961" s="3"/>
      <c r="GQ961" s="3"/>
      <c r="GR961" s="3"/>
      <c r="GS961" s="3"/>
      <c r="GT961" s="3"/>
      <c r="GU961" s="3"/>
      <c r="GV961" s="3"/>
      <c r="GW961" s="3"/>
      <c r="GX961" s="3"/>
      <c r="GY961" s="3"/>
      <c r="GZ961" s="3"/>
      <c r="HA961" s="3"/>
      <c r="HB961" s="3"/>
      <c r="HC961" s="3"/>
      <c r="HD961" s="3"/>
      <c r="HE961" s="3"/>
      <c r="HF961" s="3"/>
      <c r="HG961" s="3"/>
      <c r="HH961" s="3"/>
      <c r="HI961" s="3"/>
      <c r="HJ961" s="3"/>
      <c r="HK961" s="3"/>
      <c r="HL961" s="3"/>
      <c r="HM961" s="3"/>
      <c r="HN961" s="3"/>
      <c r="HO961" s="3"/>
      <c r="HP961" s="3"/>
      <c r="HQ961" s="3"/>
      <c r="HR961" s="3"/>
      <c r="HS961" s="3"/>
      <c r="HT961" s="3"/>
    </row>
    <row r="962">
      <c r="A962" s="14"/>
      <c r="B962" s="3"/>
      <c r="C962" s="3"/>
      <c r="D962" s="3"/>
      <c r="E962" s="3"/>
      <c r="F962" s="5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7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3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3"/>
      <c r="FU962" s="3"/>
      <c r="FV962" s="3"/>
      <c r="FW962" s="3"/>
      <c r="FX962" s="3"/>
      <c r="FY962" s="3"/>
      <c r="FZ962" s="3"/>
      <c r="GA962" s="3"/>
      <c r="GB962" s="3"/>
      <c r="GC962" s="3"/>
      <c r="GD962" s="3"/>
      <c r="GE962" s="3"/>
      <c r="GF962" s="3"/>
      <c r="GG962" s="3"/>
      <c r="GH962" s="3"/>
      <c r="GI962" s="3"/>
      <c r="GJ962" s="3"/>
      <c r="GK962" s="3"/>
      <c r="GL962" s="3"/>
      <c r="GM962" s="3"/>
      <c r="GN962" s="3"/>
      <c r="GO962" s="3"/>
      <c r="GP962" s="3"/>
      <c r="GQ962" s="3"/>
      <c r="GR962" s="3"/>
      <c r="GS962" s="3"/>
      <c r="GT962" s="3"/>
      <c r="GU962" s="3"/>
      <c r="GV962" s="3"/>
      <c r="GW962" s="3"/>
      <c r="GX962" s="3"/>
      <c r="GY962" s="3"/>
      <c r="GZ962" s="3"/>
      <c r="HA962" s="3"/>
      <c r="HB962" s="3"/>
      <c r="HC962" s="3"/>
      <c r="HD962" s="3"/>
      <c r="HE962" s="3"/>
      <c r="HF962" s="3"/>
      <c r="HG962" s="3"/>
      <c r="HH962" s="3"/>
      <c r="HI962" s="3"/>
      <c r="HJ962" s="3"/>
      <c r="HK962" s="3"/>
      <c r="HL962" s="3"/>
      <c r="HM962" s="3"/>
      <c r="HN962" s="3"/>
      <c r="HO962" s="3"/>
      <c r="HP962" s="3"/>
      <c r="HQ962" s="3"/>
      <c r="HR962" s="3"/>
      <c r="HS962" s="3"/>
      <c r="HT962" s="3"/>
    </row>
    <row r="963">
      <c r="A963" s="14"/>
      <c r="B963" s="3"/>
      <c r="C963" s="3"/>
      <c r="D963" s="3"/>
      <c r="E963" s="3"/>
      <c r="F963" s="5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7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3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3"/>
      <c r="FU963" s="3"/>
      <c r="FV963" s="3"/>
      <c r="FW963" s="3"/>
      <c r="FX963" s="3"/>
      <c r="FY963" s="3"/>
      <c r="FZ963" s="3"/>
      <c r="GA963" s="3"/>
      <c r="GB963" s="3"/>
      <c r="GC963" s="3"/>
      <c r="GD963" s="3"/>
      <c r="GE963" s="3"/>
      <c r="GF963" s="3"/>
      <c r="GG963" s="3"/>
      <c r="GH963" s="3"/>
      <c r="GI963" s="3"/>
      <c r="GJ963" s="3"/>
      <c r="GK963" s="3"/>
      <c r="GL963" s="3"/>
      <c r="GM963" s="3"/>
      <c r="GN963" s="3"/>
      <c r="GO963" s="3"/>
      <c r="GP963" s="3"/>
      <c r="GQ963" s="3"/>
      <c r="GR963" s="3"/>
      <c r="GS963" s="3"/>
      <c r="GT963" s="3"/>
      <c r="GU963" s="3"/>
      <c r="GV963" s="3"/>
      <c r="GW963" s="3"/>
      <c r="GX963" s="3"/>
      <c r="GY963" s="3"/>
      <c r="GZ963" s="3"/>
      <c r="HA963" s="3"/>
      <c r="HB963" s="3"/>
      <c r="HC963" s="3"/>
      <c r="HD963" s="3"/>
      <c r="HE963" s="3"/>
      <c r="HF963" s="3"/>
      <c r="HG963" s="3"/>
      <c r="HH963" s="3"/>
      <c r="HI963" s="3"/>
      <c r="HJ963" s="3"/>
      <c r="HK963" s="3"/>
      <c r="HL963" s="3"/>
      <c r="HM963" s="3"/>
      <c r="HN963" s="3"/>
      <c r="HO963" s="3"/>
      <c r="HP963" s="3"/>
      <c r="HQ963" s="3"/>
      <c r="HR963" s="3"/>
      <c r="HS963" s="3"/>
      <c r="HT963" s="3"/>
    </row>
    <row r="964">
      <c r="A964" s="14"/>
      <c r="B964" s="3"/>
      <c r="C964" s="3"/>
      <c r="D964" s="3"/>
      <c r="E964" s="3"/>
      <c r="F964" s="5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7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3"/>
      <c r="FU964" s="3"/>
      <c r="FV964" s="3"/>
      <c r="FW964" s="3"/>
      <c r="FX964" s="3"/>
      <c r="FY964" s="3"/>
      <c r="FZ964" s="3"/>
      <c r="GA964" s="3"/>
      <c r="GB964" s="3"/>
      <c r="GC964" s="3"/>
      <c r="GD964" s="3"/>
      <c r="GE964" s="3"/>
      <c r="GF964" s="3"/>
      <c r="GG964" s="3"/>
      <c r="GH964" s="3"/>
      <c r="GI964" s="3"/>
      <c r="GJ964" s="3"/>
      <c r="GK964" s="3"/>
      <c r="GL964" s="3"/>
      <c r="GM964" s="3"/>
      <c r="GN964" s="3"/>
      <c r="GO964" s="3"/>
      <c r="GP964" s="3"/>
      <c r="GQ964" s="3"/>
      <c r="GR964" s="3"/>
      <c r="GS964" s="3"/>
      <c r="GT964" s="3"/>
      <c r="GU964" s="3"/>
      <c r="GV964" s="3"/>
      <c r="GW964" s="3"/>
      <c r="GX964" s="3"/>
      <c r="GY964" s="3"/>
      <c r="GZ964" s="3"/>
      <c r="HA964" s="3"/>
      <c r="HB964" s="3"/>
      <c r="HC964" s="3"/>
      <c r="HD964" s="3"/>
      <c r="HE964" s="3"/>
      <c r="HF964" s="3"/>
      <c r="HG964" s="3"/>
      <c r="HH964" s="3"/>
      <c r="HI964" s="3"/>
      <c r="HJ964" s="3"/>
      <c r="HK964" s="3"/>
      <c r="HL964" s="3"/>
      <c r="HM964" s="3"/>
      <c r="HN964" s="3"/>
      <c r="HO964" s="3"/>
      <c r="HP964" s="3"/>
      <c r="HQ964" s="3"/>
      <c r="HR964" s="3"/>
      <c r="HS964" s="3"/>
      <c r="HT964" s="3"/>
    </row>
    <row r="965">
      <c r="A965" s="14"/>
      <c r="B965" s="3"/>
      <c r="C965" s="3"/>
      <c r="D965" s="3"/>
      <c r="E965" s="3"/>
      <c r="F965" s="5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7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3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3"/>
      <c r="FU965" s="3"/>
      <c r="FV965" s="3"/>
      <c r="FW965" s="3"/>
      <c r="FX965" s="3"/>
      <c r="FY965" s="3"/>
      <c r="FZ965" s="3"/>
      <c r="GA965" s="3"/>
      <c r="GB965" s="3"/>
      <c r="GC965" s="3"/>
      <c r="GD965" s="3"/>
      <c r="GE965" s="3"/>
      <c r="GF965" s="3"/>
      <c r="GG965" s="3"/>
      <c r="GH965" s="3"/>
      <c r="GI965" s="3"/>
      <c r="GJ965" s="3"/>
      <c r="GK965" s="3"/>
      <c r="GL965" s="3"/>
      <c r="GM965" s="3"/>
      <c r="GN965" s="3"/>
      <c r="GO965" s="3"/>
      <c r="GP965" s="3"/>
      <c r="GQ965" s="3"/>
      <c r="GR965" s="3"/>
      <c r="GS965" s="3"/>
      <c r="GT965" s="3"/>
      <c r="GU965" s="3"/>
      <c r="GV965" s="3"/>
      <c r="GW965" s="3"/>
      <c r="GX965" s="3"/>
      <c r="GY965" s="3"/>
      <c r="GZ965" s="3"/>
      <c r="HA965" s="3"/>
      <c r="HB965" s="3"/>
      <c r="HC965" s="3"/>
      <c r="HD965" s="3"/>
      <c r="HE965" s="3"/>
      <c r="HF965" s="3"/>
      <c r="HG965" s="3"/>
      <c r="HH965" s="3"/>
      <c r="HI965" s="3"/>
      <c r="HJ965" s="3"/>
      <c r="HK965" s="3"/>
      <c r="HL965" s="3"/>
      <c r="HM965" s="3"/>
      <c r="HN965" s="3"/>
      <c r="HO965" s="3"/>
      <c r="HP965" s="3"/>
      <c r="HQ965" s="3"/>
      <c r="HR965" s="3"/>
      <c r="HS965" s="3"/>
      <c r="HT965" s="3"/>
    </row>
    <row r="966">
      <c r="A966" s="14"/>
      <c r="B966" s="3"/>
      <c r="C966" s="3"/>
      <c r="D966" s="3"/>
      <c r="E966" s="3"/>
      <c r="F966" s="5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7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3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3"/>
      <c r="FU966" s="3"/>
      <c r="FV966" s="3"/>
      <c r="FW966" s="3"/>
      <c r="FX966" s="3"/>
      <c r="FY966" s="3"/>
      <c r="FZ966" s="3"/>
      <c r="GA966" s="3"/>
      <c r="GB966" s="3"/>
      <c r="GC966" s="3"/>
      <c r="GD966" s="3"/>
      <c r="GE966" s="3"/>
      <c r="GF966" s="3"/>
      <c r="GG966" s="3"/>
      <c r="GH966" s="3"/>
      <c r="GI966" s="3"/>
      <c r="GJ966" s="3"/>
      <c r="GK966" s="3"/>
      <c r="GL966" s="3"/>
      <c r="GM966" s="3"/>
      <c r="GN966" s="3"/>
      <c r="GO966" s="3"/>
      <c r="GP966" s="3"/>
      <c r="GQ966" s="3"/>
      <c r="GR966" s="3"/>
      <c r="GS966" s="3"/>
      <c r="GT966" s="3"/>
      <c r="GU966" s="3"/>
      <c r="GV966" s="3"/>
      <c r="GW966" s="3"/>
      <c r="GX966" s="3"/>
      <c r="GY966" s="3"/>
      <c r="GZ966" s="3"/>
      <c r="HA966" s="3"/>
      <c r="HB966" s="3"/>
      <c r="HC966" s="3"/>
      <c r="HD966" s="3"/>
      <c r="HE966" s="3"/>
      <c r="HF966" s="3"/>
      <c r="HG966" s="3"/>
      <c r="HH966" s="3"/>
      <c r="HI966" s="3"/>
      <c r="HJ966" s="3"/>
      <c r="HK966" s="3"/>
      <c r="HL966" s="3"/>
      <c r="HM966" s="3"/>
      <c r="HN966" s="3"/>
      <c r="HO966" s="3"/>
      <c r="HP966" s="3"/>
      <c r="HQ966" s="3"/>
      <c r="HR966" s="3"/>
      <c r="HS966" s="3"/>
      <c r="HT966" s="3"/>
    </row>
    <row r="967">
      <c r="A967" s="14"/>
      <c r="B967" s="3"/>
      <c r="C967" s="3"/>
      <c r="D967" s="3"/>
      <c r="E967" s="3"/>
      <c r="F967" s="5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7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3"/>
      <c r="EX967" s="3"/>
      <c r="EY967" s="3"/>
      <c r="EZ967" s="3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3"/>
      <c r="FU967" s="3"/>
      <c r="FV967" s="3"/>
      <c r="FW967" s="3"/>
      <c r="FX967" s="3"/>
      <c r="FY967" s="3"/>
      <c r="FZ967" s="3"/>
      <c r="GA967" s="3"/>
      <c r="GB967" s="3"/>
      <c r="GC967" s="3"/>
      <c r="GD967" s="3"/>
      <c r="GE967" s="3"/>
      <c r="GF967" s="3"/>
      <c r="GG967" s="3"/>
      <c r="GH967" s="3"/>
      <c r="GI967" s="3"/>
      <c r="GJ967" s="3"/>
      <c r="GK967" s="3"/>
      <c r="GL967" s="3"/>
      <c r="GM967" s="3"/>
      <c r="GN967" s="3"/>
      <c r="GO967" s="3"/>
      <c r="GP967" s="3"/>
      <c r="GQ967" s="3"/>
      <c r="GR967" s="3"/>
      <c r="GS967" s="3"/>
      <c r="GT967" s="3"/>
      <c r="GU967" s="3"/>
      <c r="GV967" s="3"/>
      <c r="GW967" s="3"/>
      <c r="GX967" s="3"/>
      <c r="GY967" s="3"/>
      <c r="GZ967" s="3"/>
      <c r="HA967" s="3"/>
      <c r="HB967" s="3"/>
      <c r="HC967" s="3"/>
      <c r="HD967" s="3"/>
      <c r="HE967" s="3"/>
      <c r="HF967" s="3"/>
      <c r="HG967" s="3"/>
      <c r="HH967" s="3"/>
      <c r="HI967" s="3"/>
      <c r="HJ967" s="3"/>
      <c r="HK967" s="3"/>
      <c r="HL967" s="3"/>
      <c r="HM967" s="3"/>
      <c r="HN967" s="3"/>
      <c r="HO967" s="3"/>
      <c r="HP967" s="3"/>
      <c r="HQ967" s="3"/>
      <c r="HR967" s="3"/>
      <c r="HS967" s="3"/>
      <c r="HT967" s="3"/>
    </row>
    <row r="968">
      <c r="A968" s="14"/>
      <c r="B968" s="3"/>
      <c r="C968" s="3"/>
      <c r="D968" s="3"/>
      <c r="E968" s="3"/>
      <c r="F968" s="5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7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3"/>
      <c r="FU968" s="3"/>
      <c r="FV968" s="3"/>
      <c r="FW968" s="3"/>
      <c r="FX968" s="3"/>
      <c r="FY968" s="3"/>
      <c r="FZ968" s="3"/>
      <c r="GA968" s="3"/>
      <c r="GB968" s="3"/>
      <c r="GC968" s="3"/>
      <c r="GD968" s="3"/>
      <c r="GE968" s="3"/>
      <c r="GF968" s="3"/>
      <c r="GG968" s="3"/>
      <c r="GH968" s="3"/>
      <c r="GI968" s="3"/>
      <c r="GJ968" s="3"/>
      <c r="GK968" s="3"/>
      <c r="GL968" s="3"/>
      <c r="GM968" s="3"/>
      <c r="GN968" s="3"/>
      <c r="GO968" s="3"/>
      <c r="GP968" s="3"/>
      <c r="GQ968" s="3"/>
      <c r="GR968" s="3"/>
      <c r="GS968" s="3"/>
      <c r="GT968" s="3"/>
      <c r="GU968" s="3"/>
      <c r="GV968" s="3"/>
      <c r="GW968" s="3"/>
      <c r="GX968" s="3"/>
      <c r="GY968" s="3"/>
      <c r="GZ968" s="3"/>
      <c r="HA968" s="3"/>
      <c r="HB968" s="3"/>
      <c r="HC968" s="3"/>
      <c r="HD968" s="3"/>
      <c r="HE968" s="3"/>
      <c r="HF968" s="3"/>
      <c r="HG968" s="3"/>
      <c r="HH968" s="3"/>
      <c r="HI968" s="3"/>
      <c r="HJ968" s="3"/>
      <c r="HK968" s="3"/>
      <c r="HL968" s="3"/>
      <c r="HM968" s="3"/>
      <c r="HN968" s="3"/>
      <c r="HO968" s="3"/>
      <c r="HP968" s="3"/>
      <c r="HQ968" s="3"/>
      <c r="HR968" s="3"/>
      <c r="HS968" s="3"/>
      <c r="HT968" s="3"/>
    </row>
    <row r="969">
      <c r="A969" s="14"/>
      <c r="B969" s="3"/>
      <c r="C969" s="3"/>
      <c r="D969" s="3"/>
      <c r="E969" s="3"/>
      <c r="F969" s="5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7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3"/>
      <c r="FU969" s="3"/>
      <c r="FV969" s="3"/>
      <c r="FW969" s="3"/>
      <c r="FX969" s="3"/>
      <c r="FY969" s="3"/>
      <c r="FZ969" s="3"/>
      <c r="GA969" s="3"/>
      <c r="GB969" s="3"/>
      <c r="GC969" s="3"/>
      <c r="GD969" s="3"/>
      <c r="GE969" s="3"/>
      <c r="GF969" s="3"/>
      <c r="GG969" s="3"/>
      <c r="GH969" s="3"/>
      <c r="GI969" s="3"/>
      <c r="GJ969" s="3"/>
      <c r="GK969" s="3"/>
      <c r="GL969" s="3"/>
      <c r="GM969" s="3"/>
      <c r="GN969" s="3"/>
      <c r="GO969" s="3"/>
      <c r="GP969" s="3"/>
      <c r="GQ969" s="3"/>
      <c r="GR969" s="3"/>
      <c r="GS969" s="3"/>
      <c r="GT969" s="3"/>
      <c r="GU969" s="3"/>
      <c r="GV969" s="3"/>
      <c r="GW969" s="3"/>
      <c r="GX969" s="3"/>
      <c r="GY969" s="3"/>
      <c r="GZ969" s="3"/>
      <c r="HA969" s="3"/>
      <c r="HB969" s="3"/>
      <c r="HC969" s="3"/>
      <c r="HD969" s="3"/>
      <c r="HE969" s="3"/>
      <c r="HF969" s="3"/>
      <c r="HG969" s="3"/>
      <c r="HH969" s="3"/>
      <c r="HI969" s="3"/>
      <c r="HJ969" s="3"/>
      <c r="HK969" s="3"/>
      <c r="HL969" s="3"/>
      <c r="HM969" s="3"/>
      <c r="HN969" s="3"/>
      <c r="HO969" s="3"/>
      <c r="HP969" s="3"/>
      <c r="HQ969" s="3"/>
      <c r="HR969" s="3"/>
      <c r="HS969" s="3"/>
      <c r="HT969" s="3"/>
    </row>
    <row r="970">
      <c r="A970" s="14"/>
      <c r="B970" s="3"/>
      <c r="C970" s="3"/>
      <c r="D970" s="3"/>
      <c r="E970" s="3"/>
      <c r="F970" s="5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7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3"/>
      <c r="FU970" s="3"/>
      <c r="FV970" s="3"/>
      <c r="FW970" s="3"/>
      <c r="FX970" s="3"/>
      <c r="FY970" s="3"/>
      <c r="FZ970" s="3"/>
      <c r="GA970" s="3"/>
      <c r="GB970" s="3"/>
      <c r="GC970" s="3"/>
      <c r="GD970" s="3"/>
      <c r="GE970" s="3"/>
      <c r="GF970" s="3"/>
      <c r="GG970" s="3"/>
      <c r="GH970" s="3"/>
      <c r="GI970" s="3"/>
      <c r="GJ970" s="3"/>
      <c r="GK970" s="3"/>
      <c r="GL970" s="3"/>
      <c r="GM970" s="3"/>
      <c r="GN970" s="3"/>
      <c r="GO970" s="3"/>
      <c r="GP970" s="3"/>
      <c r="GQ970" s="3"/>
      <c r="GR970" s="3"/>
      <c r="GS970" s="3"/>
      <c r="GT970" s="3"/>
      <c r="GU970" s="3"/>
      <c r="GV970" s="3"/>
      <c r="GW970" s="3"/>
      <c r="GX970" s="3"/>
      <c r="GY970" s="3"/>
      <c r="GZ970" s="3"/>
      <c r="HA970" s="3"/>
      <c r="HB970" s="3"/>
      <c r="HC970" s="3"/>
      <c r="HD970" s="3"/>
      <c r="HE970" s="3"/>
      <c r="HF970" s="3"/>
      <c r="HG970" s="3"/>
      <c r="HH970" s="3"/>
      <c r="HI970" s="3"/>
      <c r="HJ970" s="3"/>
      <c r="HK970" s="3"/>
      <c r="HL970" s="3"/>
      <c r="HM970" s="3"/>
      <c r="HN970" s="3"/>
      <c r="HO970" s="3"/>
      <c r="HP970" s="3"/>
      <c r="HQ970" s="3"/>
      <c r="HR970" s="3"/>
      <c r="HS970" s="3"/>
      <c r="HT970" s="3"/>
    </row>
    <row r="971">
      <c r="A971" s="14"/>
      <c r="B971" s="3"/>
      <c r="C971" s="3"/>
      <c r="D971" s="3"/>
      <c r="E971" s="3"/>
      <c r="F971" s="5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7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3"/>
      <c r="FU971" s="3"/>
      <c r="FV971" s="3"/>
      <c r="FW971" s="3"/>
      <c r="FX971" s="3"/>
      <c r="FY971" s="3"/>
      <c r="FZ971" s="3"/>
      <c r="GA971" s="3"/>
      <c r="GB971" s="3"/>
      <c r="GC971" s="3"/>
      <c r="GD971" s="3"/>
      <c r="GE971" s="3"/>
      <c r="GF971" s="3"/>
      <c r="GG971" s="3"/>
      <c r="GH971" s="3"/>
      <c r="GI971" s="3"/>
      <c r="GJ971" s="3"/>
      <c r="GK971" s="3"/>
      <c r="GL971" s="3"/>
      <c r="GM971" s="3"/>
      <c r="GN971" s="3"/>
      <c r="GO971" s="3"/>
      <c r="GP971" s="3"/>
      <c r="GQ971" s="3"/>
      <c r="GR971" s="3"/>
      <c r="GS971" s="3"/>
      <c r="GT971" s="3"/>
      <c r="GU971" s="3"/>
      <c r="GV971" s="3"/>
      <c r="GW971" s="3"/>
      <c r="GX971" s="3"/>
      <c r="GY971" s="3"/>
      <c r="GZ971" s="3"/>
      <c r="HA971" s="3"/>
      <c r="HB971" s="3"/>
      <c r="HC971" s="3"/>
      <c r="HD971" s="3"/>
      <c r="HE971" s="3"/>
      <c r="HF971" s="3"/>
      <c r="HG971" s="3"/>
      <c r="HH971" s="3"/>
      <c r="HI971" s="3"/>
      <c r="HJ971" s="3"/>
      <c r="HK971" s="3"/>
      <c r="HL971" s="3"/>
      <c r="HM971" s="3"/>
      <c r="HN971" s="3"/>
      <c r="HO971" s="3"/>
      <c r="HP971" s="3"/>
      <c r="HQ971" s="3"/>
      <c r="HR971" s="3"/>
      <c r="HS971" s="3"/>
      <c r="HT971" s="3"/>
    </row>
    <row r="972">
      <c r="A972" s="14"/>
      <c r="B972" s="3"/>
      <c r="C972" s="3"/>
      <c r="D972" s="3"/>
      <c r="E972" s="3"/>
      <c r="F972" s="5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7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3"/>
      <c r="FU972" s="3"/>
      <c r="FV972" s="3"/>
      <c r="FW972" s="3"/>
      <c r="FX972" s="3"/>
      <c r="FY972" s="3"/>
      <c r="FZ972" s="3"/>
      <c r="GA972" s="3"/>
      <c r="GB972" s="3"/>
      <c r="GC972" s="3"/>
      <c r="GD972" s="3"/>
      <c r="GE972" s="3"/>
      <c r="GF972" s="3"/>
      <c r="GG972" s="3"/>
      <c r="GH972" s="3"/>
      <c r="GI972" s="3"/>
      <c r="GJ972" s="3"/>
      <c r="GK972" s="3"/>
      <c r="GL972" s="3"/>
      <c r="GM972" s="3"/>
      <c r="GN972" s="3"/>
      <c r="GO972" s="3"/>
      <c r="GP972" s="3"/>
      <c r="GQ972" s="3"/>
      <c r="GR972" s="3"/>
      <c r="GS972" s="3"/>
      <c r="GT972" s="3"/>
      <c r="GU972" s="3"/>
      <c r="GV972" s="3"/>
      <c r="GW972" s="3"/>
      <c r="GX972" s="3"/>
      <c r="GY972" s="3"/>
      <c r="GZ972" s="3"/>
      <c r="HA972" s="3"/>
      <c r="HB972" s="3"/>
      <c r="HC972" s="3"/>
      <c r="HD972" s="3"/>
      <c r="HE972" s="3"/>
      <c r="HF972" s="3"/>
      <c r="HG972" s="3"/>
      <c r="HH972" s="3"/>
      <c r="HI972" s="3"/>
      <c r="HJ972" s="3"/>
      <c r="HK972" s="3"/>
      <c r="HL972" s="3"/>
      <c r="HM972" s="3"/>
      <c r="HN972" s="3"/>
      <c r="HO972" s="3"/>
      <c r="HP972" s="3"/>
      <c r="HQ972" s="3"/>
      <c r="HR972" s="3"/>
      <c r="HS972" s="3"/>
      <c r="HT972" s="3"/>
    </row>
    <row r="973">
      <c r="A973" s="14"/>
      <c r="B973" s="3"/>
      <c r="C973" s="3"/>
      <c r="D973" s="3"/>
      <c r="E973" s="3"/>
      <c r="F973" s="5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7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3"/>
      <c r="FU973" s="3"/>
      <c r="FV973" s="3"/>
      <c r="FW973" s="3"/>
      <c r="FX973" s="3"/>
      <c r="FY973" s="3"/>
      <c r="FZ973" s="3"/>
      <c r="GA973" s="3"/>
      <c r="GB973" s="3"/>
      <c r="GC973" s="3"/>
      <c r="GD973" s="3"/>
      <c r="GE973" s="3"/>
      <c r="GF973" s="3"/>
      <c r="GG973" s="3"/>
      <c r="GH973" s="3"/>
      <c r="GI973" s="3"/>
      <c r="GJ973" s="3"/>
      <c r="GK973" s="3"/>
      <c r="GL973" s="3"/>
      <c r="GM973" s="3"/>
      <c r="GN973" s="3"/>
      <c r="GO973" s="3"/>
      <c r="GP973" s="3"/>
      <c r="GQ973" s="3"/>
      <c r="GR973" s="3"/>
      <c r="GS973" s="3"/>
      <c r="GT973" s="3"/>
      <c r="GU973" s="3"/>
      <c r="GV973" s="3"/>
      <c r="GW973" s="3"/>
      <c r="GX973" s="3"/>
      <c r="GY973" s="3"/>
      <c r="GZ973" s="3"/>
      <c r="HA973" s="3"/>
      <c r="HB973" s="3"/>
      <c r="HC973" s="3"/>
      <c r="HD973" s="3"/>
      <c r="HE973" s="3"/>
      <c r="HF973" s="3"/>
      <c r="HG973" s="3"/>
      <c r="HH973" s="3"/>
      <c r="HI973" s="3"/>
      <c r="HJ973" s="3"/>
      <c r="HK973" s="3"/>
      <c r="HL973" s="3"/>
      <c r="HM973" s="3"/>
      <c r="HN973" s="3"/>
      <c r="HO973" s="3"/>
      <c r="HP973" s="3"/>
      <c r="HQ973" s="3"/>
      <c r="HR973" s="3"/>
      <c r="HS973" s="3"/>
      <c r="HT973" s="3"/>
    </row>
    <row r="974">
      <c r="A974" s="14"/>
      <c r="B974" s="3"/>
      <c r="C974" s="3"/>
      <c r="D974" s="3"/>
      <c r="E974" s="3"/>
      <c r="F974" s="5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7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FX974" s="3"/>
      <c r="FY974" s="3"/>
      <c r="FZ974" s="3"/>
      <c r="GA974" s="3"/>
      <c r="GB974" s="3"/>
      <c r="GC974" s="3"/>
      <c r="GD974" s="3"/>
      <c r="GE974" s="3"/>
      <c r="GF974" s="3"/>
      <c r="GG974" s="3"/>
      <c r="GH974" s="3"/>
      <c r="GI974" s="3"/>
      <c r="GJ974" s="3"/>
      <c r="GK974" s="3"/>
      <c r="GL974" s="3"/>
      <c r="GM974" s="3"/>
      <c r="GN974" s="3"/>
      <c r="GO974" s="3"/>
      <c r="GP974" s="3"/>
      <c r="GQ974" s="3"/>
      <c r="GR974" s="3"/>
      <c r="GS974" s="3"/>
      <c r="GT974" s="3"/>
      <c r="GU974" s="3"/>
      <c r="GV974" s="3"/>
      <c r="GW974" s="3"/>
      <c r="GX974" s="3"/>
      <c r="GY974" s="3"/>
      <c r="GZ974" s="3"/>
      <c r="HA974" s="3"/>
      <c r="HB974" s="3"/>
      <c r="HC974" s="3"/>
      <c r="HD974" s="3"/>
      <c r="HE974" s="3"/>
      <c r="HF974" s="3"/>
      <c r="HG974" s="3"/>
      <c r="HH974" s="3"/>
      <c r="HI974" s="3"/>
      <c r="HJ974" s="3"/>
      <c r="HK974" s="3"/>
      <c r="HL974" s="3"/>
      <c r="HM974" s="3"/>
      <c r="HN974" s="3"/>
      <c r="HO974" s="3"/>
      <c r="HP974" s="3"/>
      <c r="HQ974" s="3"/>
      <c r="HR974" s="3"/>
      <c r="HS974" s="3"/>
      <c r="HT974" s="3"/>
    </row>
    <row r="975">
      <c r="A975" s="14"/>
      <c r="B975" s="3"/>
      <c r="C975" s="3"/>
      <c r="D975" s="3"/>
      <c r="E975" s="3"/>
      <c r="F975" s="5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7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s="3"/>
      <c r="ET975" s="3"/>
      <c r="EU975" s="3"/>
      <c r="EV975" s="3"/>
      <c r="EW975" s="3"/>
      <c r="EX975" s="3"/>
      <c r="EY975" s="3"/>
      <c r="EZ975" s="3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3"/>
      <c r="FU975" s="3"/>
      <c r="FV975" s="3"/>
      <c r="FW975" s="3"/>
      <c r="FX975" s="3"/>
      <c r="FY975" s="3"/>
      <c r="FZ975" s="3"/>
      <c r="GA975" s="3"/>
      <c r="GB975" s="3"/>
      <c r="GC975" s="3"/>
      <c r="GD975" s="3"/>
      <c r="GE975" s="3"/>
      <c r="GF975" s="3"/>
      <c r="GG975" s="3"/>
      <c r="GH975" s="3"/>
      <c r="GI975" s="3"/>
      <c r="GJ975" s="3"/>
      <c r="GK975" s="3"/>
      <c r="GL975" s="3"/>
      <c r="GM975" s="3"/>
      <c r="GN975" s="3"/>
      <c r="GO975" s="3"/>
      <c r="GP975" s="3"/>
      <c r="GQ975" s="3"/>
      <c r="GR975" s="3"/>
      <c r="GS975" s="3"/>
      <c r="GT975" s="3"/>
      <c r="GU975" s="3"/>
      <c r="GV975" s="3"/>
      <c r="GW975" s="3"/>
      <c r="GX975" s="3"/>
      <c r="GY975" s="3"/>
      <c r="GZ975" s="3"/>
      <c r="HA975" s="3"/>
      <c r="HB975" s="3"/>
      <c r="HC975" s="3"/>
      <c r="HD975" s="3"/>
      <c r="HE975" s="3"/>
      <c r="HF975" s="3"/>
      <c r="HG975" s="3"/>
      <c r="HH975" s="3"/>
      <c r="HI975" s="3"/>
      <c r="HJ975" s="3"/>
      <c r="HK975" s="3"/>
      <c r="HL975" s="3"/>
      <c r="HM975" s="3"/>
      <c r="HN975" s="3"/>
      <c r="HO975" s="3"/>
      <c r="HP975" s="3"/>
      <c r="HQ975" s="3"/>
      <c r="HR975" s="3"/>
      <c r="HS975" s="3"/>
      <c r="HT975" s="3"/>
    </row>
    <row r="976">
      <c r="A976" s="14"/>
      <c r="B976" s="3"/>
      <c r="C976" s="3"/>
      <c r="D976" s="3"/>
      <c r="E976" s="3"/>
      <c r="F976" s="5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7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  <c r="EU976" s="3"/>
      <c r="EV976" s="3"/>
      <c r="EW976" s="3"/>
      <c r="EX976" s="3"/>
      <c r="EY976" s="3"/>
      <c r="EZ976" s="3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3"/>
      <c r="FU976" s="3"/>
      <c r="FV976" s="3"/>
      <c r="FW976" s="3"/>
      <c r="FX976" s="3"/>
      <c r="FY976" s="3"/>
      <c r="FZ976" s="3"/>
      <c r="GA976" s="3"/>
      <c r="GB976" s="3"/>
      <c r="GC976" s="3"/>
      <c r="GD976" s="3"/>
      <c r="GE976" s="3"/>
      <c r="GF976" s="3"/>
      <c r="GG976" s="3"/>
      <c r="GH976" s="3"/>
      <c r="GI976" s="3"/>
      <c r="GJ976" s="3"/>
      <c r="GK976" s="3"/>
      <c r="GL976" s="3"/>
      <c r="GM976" s="3"/>
      <c r="GN976" s="3"/>
      <c r="GO976" s="3"/>
      <c r="GP976" s="3"/>
      <c r="GQ976" s="3"/>
      <c r="GR976" s="3"/>
      <c r="GS976" s="3"/>
      <c r="GT976" s="3"/>
      <c r="GU976" s="3"/>
      <c r="GV976" s="3"/>
      <c r="GW976" s="3"/>
      <c r="GX976" s="3"/>
      <c r="GY976" s="3"/>
      <c r="GZ976" s="3"/>
      <c r="HA976" s="3"/>
      <c r="HB976" s="3"/>
      <c r="HC976" s="3"/>
      <c r="HD976" s="3"/>
      <c r="HE976" s="3"/>
      <c r="HF976" s="3"/>
      <c r="HG976" s="3"/>
      <c r="HH976" s="3"/>
      <c r="HI976" s="3"/>
      <c r="HJ976" s="3"/>
      <c r="HK976" s="3"/>
      <c r="HL976" s="3"/>
      <c r="HM976" s="3"/>
      <c r="HN976" s="3"/>
      <c r="HO976" s="3"/>
      <c r="HP976" s="3"/>
      <c r="HQ976" s="3"/>
      <c r="HR976" s="3"/>
      <c r="HS976" s="3"/>
      <c r="HT976" s="3"/>
    </row>
    <row r="977">
      <c r="A977" s="14"/>
      <c r="B977" s="3"/>
      <c r="C977" s="3"/>
      <c r="D977" s="3"/>
      <c r="E977" s="3"/>
      <c r="F977" s="5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7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s="3"/>
      <c r="ET977" s="3"/>
      <c r="EU977" s="3"/>
      <c r="EV977" s="3"/>
      <c r="EW977" s="3"/>
      <c r="EX977" s="3"/>
      <c r="EY977" s="3"/>
      <c r="EZ977" s="3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3"/>
      <c r="FU977" s="3"/>
      <c r="FV977" s="3"/>
      <c r="FW977" s="3"/>
      <c r="FX977" s="3"/>
      <c r="FY977" s="3"/>
      <c r="FZ977" s="3"/>
      <c r="GA977" s="3"/>
      <c r="GB977" s="3"/>
      <c r="GC977" s="3"/>
      <c r="GD977" s="3"/>
      <c r="GE977" s="3"/>
      <c r="GF977" s="3"/>
      <c r="GG977" s="3"/>
      <c r="GH977" s="3"/>
      <c r="GI977" s="3"/>
      <c r="GJ977" s="3"/>
      <c r="GK977" s="3"/>
      <c r="GL977" s="3"/>
      <c r="GM977" s="3"/>
      <c r="GN977" s="3"/>
      <c r="GO977" s="3"/>
      <c r="GP977" s="3"/>
      <c r="GQ977" s="3"/>
      <c r="GR977" s="3"/>
      <c r="GS977" s="3"/>
      <c r="GT977" s="3"/>
      <c r="GU977" s="3"/>
      <c r="GV977" s="3"/>
      <c r="GW977" s="3"/>
      <c r="GX977" s="3"/>
      <c r="GY977" s="3"/>
      <c r="GZ977" s="3"/>
      <c r="HA977" s="3"/>
      <c r="HB977" s="3"/>
      <c r="HC977" s="3"/>
      <c r="HD977" s="3"/>
      <c r="HE977" s="3"/>
      <c r="HF977" s="3"/>
      <c r="HG977" s="3"/>
      <c r="HH977" s="3"/>
      <c r="HI977" s="3"/>
      <c r="HJ977" s="3"/>
      <c r="HK977" s="3"/>
      <c r="HL977" s="3"/>
      <c r="HM977" s="3"/>
      <c r="HN977" s="3"/>
      <c r="HO977" s="3"/>
      <c r="HP977" s="3"/>
      <c r="HQ977" s="3"/>
      <c r="HR977" s="3"/>
      <c r="HS977" s="3"/>
      <c r="HT977" s="3"/>
    </row>
    <row r="978">
      <c r="A978" s="14"/>
      <c r="B978" s="3"/>
      <c r="C978" s="3"/>
      <c r="D978" s="3"/>
      <c r="E978" s="3"/>
      <c r="F978" s="5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7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s="3"/>
      <c r="ET978" s="3"/>
      <c r="EU978" s="3"/>
      <c r="EV978" s="3"/>
      <c r="EW978" s="3"/>
      <c r="EX978" s="3"/>
      <c r="EY978" s="3"/>
      <c r="EZ978" s="3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3"/>
      <c r="FU978" s="3"/>
      <c r="FV978" s="3"/>
      <c r="FW978" s="3"/>
      <c r="FX978" s="3"/>
      <c r="FY978" s="3"/>
      <c r="FZ978" s="3"/>
      <c r="GA978" s="3"/>
      <c r="GB978" s="3"/>
      <c r="GC978" s="3"/>
      <c r="GD978" s="3"/>
      <c r="GE978" s="3"/>
      <c r="GF978" s="3"/>
      <c r="GG978" s="3"/>
      <c r="GH978" s="3"/>
      <c r="GI978" s="3"/>
      <c r="GJ978" s="3"/>
      <c r="GK978" s="3"/>
      <c r="GL978" s="3"/>
      <c r="GM978" s="3"/>
      <c r="GN978" s="3"/>
      <c r="GO978" s="3"/>
      <c r="GP978" s="3"/>
      <c r="GQ978" s="3"/>
      <c r="GR978" s="3"/>
      <c r="GS978" s="3"/>
      <c r="GT978" s="3"/>
      <c r="GU978" s="3"/>
      <c r="GV978" s="3"/>
      <c r="GW978" s="3"/>
      <c r="GX978" s="3"/>
      <c r="GY978" s="3"/>
      <c r="GZ978" s="3"/>
      <c r="HA978" s="3"/>
      <c r="HB978" s="3"/>
      <c r="HC978" s="3"/>
      <c r="HD978" s="3"/>
      <c r="HE978" s="3"/>
      <c r="HF978" s="3"/>
      <c r="HG978" s="3"/>
      <c r="HH978" s="3"/>
      <c r="HI978" s="3"/>
      <c r="HJ978" s="3"/>
      <c r="HK978" s="3"/>
      <c r="HL978" s="3"/>
      <c r="HM978" s="3"/>
      <c r="HN978" s="3"/>
      <c r="HO978" s="3"/>
      <c r="HP978" s="3"/>
      <c r="HQ978" s="3"/>
      <c r="HR978" s="3"/>
      <c r="HS978" s="3"/>
      <c r="HT978" s="3"/>
    </row>
    <row r="979">
      <c r="A979" s="14"/>
      <c r="B979" s="3"/>
      <c r="C979" s="3"/>
      <c r="D979" s="3"/>
      <c r="E979" s="3"/>
      <c r="F979" s="5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7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  <c r="EU979" s="3"/>
      <c r="EV979" s="3"/>
      <c r="EW979" s="3"/>
      <c r="EX979" s="3"/>
      <c r="EY979" s="3"/>
      <c r="EZ979" s="3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3"/>
      <c r="FU979" s="3"/>
      <c r="FV979" s="3"/>
      <c r="FW979" s="3"/>
      <c r="FX979" s="3"/>
      <c r="FY979" s="3"/>
      <c r="FZ979" s="3"/>
      <c r="GA979" s="3"/>
      <c r="GB979" s="3"/>
      <c r="GC979" s="3"/>
      <c r="GD979" s="3"/>
      <c r="GE979" s="3"/>
      <c r="GF979" s="3"/>
      <c r="GG979" s="3"/>
      <c r="GH979" s="3"/>
      <c r="GI979" s="3"/>
      <c r="GJ979" s="3"/>
      <c r="GK979" s="3"/>
      <c r="GL979" s="3"/>
      <c r="GM979" s="3"/>
      <c r="GN979" s="3"/>
      <c r="GO979" s="3"/>
      <c r="GP979" s="3"/>
      <c r="GQ979" s="3"/>
      <c r="GR979" s="3"/>
      <c r="GS979" s="3"/>
      <c r="GT979" s="3"/>
      <c r="GU979" s="3"/>
      <c r="GV979" s="3"/>
      <c r="GW979" s="3"/>
      <c r="GX979" s="3"/>
      <c r="GY979" s="3"/>
      <c r="GZ979" s="3"/>
      <c r="HA979" s="3"/>
      <c r="HB979" s="3"/>
      <c r="HC979" s="3"/>
      <c r="HD979" s="3"/>
      <c r="HE979" s="3"/>
      <c r="HF979" s="3"/>
      <c r="HG979" s="3"/>
      <c r="HH979" s="3"/>
      <c r="HI979" s="3"/>
      <c r="HJ979" s="3"/>
      <c r="HK979" s="3"/>
      <c r="HL979" s="3"/>
      <c r="HM979" s="3"/>
      <c r="HN979" s="3"/>
      <c r="HO979" s="3"/>
      <c r="HP979" s="3"/>
      <c r="HQ979" s="3"/>
      <c r="HR979" s="3"/>
      <c r="HS979" s="3"/>
      <c r="HT979" s="3"/>
    </row>
    <row r="980">
      <c r="A980" s="14"/>
      <c r="B980" s="3"/>
      <c r="C980" s="3"/>
      <c r="D980" s="3"/>
      <c r="E980" s="3"/>
      <c r="F980" s="5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7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  <c r="EU980" s="3"/>
      <c r="EV980" s="3"/>
      <c r="EW980" s="3"/>
      <c r="EX980" s="3"/>
      <c r="EY980" s="3"/>
      <c r="EZ980" s="3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3"/>
      <c r="FU980" s="3"/>
      <c r="FV980" s="3"/>
      <c r="FW980" s="3"/>
      <c r="FX980" s="3"/>
      <c r="FY980" s="3"/>
      <c r="FZ980" s="3"/>
      <c r="GA980" s="3"/>
      <c r="GB980" s="3"/>
      <c r="GC980" s="3"/>
      <c r="GD980" s="3"/>
      <c r="GE980" s="3"/>
      <c r="GF980" s="3"/>
      <c r="GG980" s="3"/>
      <c r="GH980" s="3"/>
      <c r="GI980" s="3"/>
      <c r="GJ980" s="3"/>
      <c r="GK980" s="3"/>
      <c r="GL980" s="3"/>
      <c r="GM980" s="3"/>
      <c r="GN980" s="3"/>
      <c r="GO980" s="3"/>
      <c r="GP980" s="3"/>
      <c r="GQ980" s="3"/>
      <c r="GR980" s="3"/>
      <c r="GS980" s="3"/>
      <c r="GT980" s="3"/>
      <c r="GU980" s="3"/>
      <c r="GV980" s="3"/>
      <c r="GW980" s="3"/>
      <c r="GX980" s="3"/>
      <c r="GY980" s="3"/>
      <c r="GZ980" s="3"/>
      <c r="HA980" s="3"/>
      <c r="HB980" s="3"/>
      <c r="HC980" s="3"/>
      <c r="HD980" s="3"/>
      <c r="HE980" s="3"/>
      <c r="HF980" s="3"/>
      <c r="HG980" s="3"/>
      <c r="HH980" s="3"/>
      <c r="HI980" s="3"/>
      <c r="HJ980" s="3"/>
      <c r="HK980" s="3"/>
      <c r="HL980" s="3"/>
      <c r="HM980" s="3"/>
      <c r="HN980" s="3"/>
      <c r="HO980" s="3"/>
      <c r="HP980" s="3"/>
      <c r="HQ980" s="3"/>
      <c r="HR980" s="3"/>
      <c r="HS980" s="3"/>
      <c r="HT980" s="3"/>
    </row>
    <row r="981">
      <c r="A981" s="14"/>
      <c r="B981" s="3"/>
      <c r="C981" s="3"/>
      <c r="D981" s="3"/>
      <c r="E981" s="3"/>
      <c r="F981" s="5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7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s="3"/>
      <c r="ET981" s="3"/>
      <c r="EU981" s="3"/>
      <c r="EV981" s="3"/>
      <c r="EW981" s="3"/>
      <c r="EX981" s="3"/>
      <c r="EY981" s="3"/>
      <c r="EZ981" s="3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3"/>
      <c r="FU981" s="3"/>
      <c r="FV981" s="3"/>
      <c r="FW981" s="3"/>
      <c r="FX981" s="3"/>
      <c r="FY981" s="3"/>
      <c r="FZ981" s="3"/>
      <c r="GA981" s="3"/>
      <c r="GB981" s="3"/>
      <c r="GC981" s="3"/>
      <c r="GD981" s="3"/>
      <c r="GE981" s="3"/>
      <c r="GF981" s="3"/>
      <c r="GG981" s="3"/>
      <c r="GH981" s="3"/>
      <c r="GI981" s="3"/>
      <c r="GJ981" s="3"/>
      <c r="GK981" s="3"/>
      <c r="GL981" s="3"/>
      <c r="GM981" s="3"/>
      <c r="GN981" s="3"/>
      <c r="GO981" s="3"/>
      <c r="GP981" s="3"/>
      <c r="GQ981" s="3"/>
      <c r="GR981" s="3"/>
      <c r="GS981" s="3"/>
      <c r="GT981" s="3"/>
      <c r="GU981" s="3"/>
      <c r="GV981" s="3"/>
      <c r="GW981" s="3"/>
      <c r="GX981" s="3"/>
      <c r="GY981" s="3"/>
      <c r="GZ981" s="3"/>
      <c r="HA981" s="3"/>
      <c r="HB981" s="3"/>
      <c r="HC981" s="3"/>
      <c r="HD981" s="3"/>
      <c r="HE981" s="3"/>
      <c r="HF981" s="3"/>
      <c r="HG981" s="3"/>
      <c r="HH981" s="3"/>
      <c r="HI981" s="3"/>
      <c r="HJ981" s="3"/>
      <c r="HK981" s="3"/>
      <c r="HL981" s="3"/>
      <c r="HM981" s="3"/>
      <c r="HN981" s="3"/>
      <c r="HO981" s="3"/>
      <c r="HP981" s="3"/>
      <c r="HQ981" s="3"/>
      <c r="HR981" s="3"/>
      <c r="HS981" s="3"/>
      <c r="HT981" s="3"/>
    </row>
    <row r="982">
      <c r="A982" s="14"/>
      <c r="B982" s="3"/>
      <c r="C982" s="3"/>
      <c r="D982" s="3"/>
      <c r="E982" s="3"/>
      <c r="F982" s="5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7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  <c r="ER982" s="3"/>
      <c r="ES982" s="3"/>
      <c r="ET982" s="3"/>
      <c r="EU982" s="3"/>
      <c r="EV982" s="3"/>
      <c r="EW982" s="3"/>
      <c r="EX982" s="3"/>
      <c r="EY982" s="3"/>
      <c r="EZ982" s="3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3"/>
      <c r="FU982" s="3"/>
      <c r="FV982" s="3"/>
      <c r="FW982" s="3"/>
      <c r="FX982" s="3"/>
      <c r="FY982" s="3"/>
      <c r="FZ982" s="3"/>
      <c r="GA982" s="3"/>
      <c r="GB982" s="3"/>
      <c r="GC982" s="3"/>
      <c r="GD982" s="3"/>
      <c r="GE982" s="3"/>
      <c r="GF982" s="3"/>
      <c r="GG982" s="3"/>
      <c r="GH982" s="3"/>
      <c r="GI982" s="3"/>
      <c r="GJ982" s="3"/>
      <c r="GK982" s="3"/>
      <c r="GL982" s="3"/>
      <c r="GM982" s="3"/>
      <c r="GN982" s="3"/>
      <c r="GO982" s="3"/>
      <c r="GP982" s="3"/>
      <c r="GQ982" s="3"/>
      <c r="GR982" s="3"/>
      <c r="GS982" s="3"/>
      <c r="GT982" s="3"/>
      <c r="GU982" s="3"/>
      <c r="GV982" s="3"/>
      <c r="GW982" s="3"/>
      <c r="GX982" s="3"/>
      <c r="GY982" s="3"/>
      <c r="GZ982" s="3"/>
      <c r="HA982" s="3"/>
      <c r="HB982" s="3"/>
      <c r="HC982" s="3"/>
      <c r="HD982" s="3"/>
      <c r="HE982" s="3"/>
      <c r="HF982" s="3"/>
      <c r="HG982" s="3"/>
      <c r="HH982" s="3"/>
      <c r="HI982" s="3"/>
      <c r="HJ982" s="3"/>
      <c r="HK982" s="3"/>
      <c r="HL982" s="3"/>
      <c r="HM982" s="3"/>
      <c r="HN982" s="3"/>
      <c r="HO982" s="3"/>
      <c r="HP982" s="3"/>
      <c r="HQ982" s="3"/>
      <c r="HR982" s="3"/>
      <c r="HS982" s="3"/>
      <c r="HT982" s="3"/>
    </row>
    <row r="983">
      <c r="A983" s="14"/>
      <c r="B983" s="3"/>
      <c r="C983" s="3"/>
      <c r="D983" s="3"/>
      <c r="E983" s="3"/>
      <c r="F983" s="5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7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  <c r="EP983" s="3"/>
      <c r="EQ983" s="3"/>
      <c r="ER983" s="3"/>
      <c r="ES983" s="3"/>
      <c r="ET983" s="3"/>
      <c r="EU983" s="3"/>
      <c r="EV983" s="3"/>
      <c r="EW983" s="3"/>
      <c r="EX983" s="3"/>
      <c r="EY983" s="3"/>
      <c r="EZ983" s="3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3"/>
      <c r="FU983" s="3"/>
      <c r="FV983" s="3"/>
      <c r="FW983" s="3"/>
      <c r="FX983" s="3"/>
      <c r="FY983" s="3"/>
      <c r="FZ983" s="3"/>
      <c r="GA983" s="3"/>
      <c r="GB983" s="3"/>
      <c r="GC983" s="3"/>
      <c r="GD983" s="3"/>
      <c r="GE983" s="3"/>
      <c r="GF983" s="3"/>
      <c r="GG983" s="3"/>
      <c r="GH983" s="3"/>
      <c r="GI983" s="3"/>
      <c r="GJ983" s="3"/>
      <c r="GK983" s="3"/>
      <c r="GL983" s="3"/>
      <c r="GM983" s="3"/>
      <c r="GN983" s="3"/>
      <c r="GO983" s="3"/>
      <c r="GP983" s="3"/>
      <c r="GQ983" s="3"/>
      <c r="GR983" s="3"/>
      <c r="GS983" s="3"/>
      <c r="GT983" s="3"/>
      <c r="GU983" s="3"/>
      <c r="GV983" s="3"/>
      <c r="GW983" s="3"/>
      <c r="GX983" s="3"/>
      <c r="GY983" s="3"/>
      <c r="GZ983" s="3"/>
      <c r="HA983" s="3"/>
      <c r="HB983" s="3"/>
      <c r="HC983" s="3"/>
      <c r="HD983" s="3"/>
      <c r="HE983" s="3"/>
      <c r="HF983" s="3"/>
      <c r="HG983" s="3"/>
      <c r="HH983" s="3"/>
      <c r="HI983" s="3"/>
      <c r="HJ983" s="3"/>
      <c r="HK983" s="3"/>
      <c r="HL983" s="3"/>
      <c r="HM983" s="3"/>
      <c r="HN983" s="3"/>
      <c r="HO983" s="3"/>
      <c r="HP983" s="3"/>
      <c r="HQ983" s="3"/>
      <c r="HR983" s="3"/>
      <c r="HS983" s="3"/>
      <c r="HT983" s="3"/>
    </row>
    <row r="984">
      <c r="A984" s="14"/>
      <c r="B984" s="3"/>
      <c r="C984" s="3"/>
      <c r="D984" s="3"/>
      <c r="E984" s="3"/>
      <c r="F984" s="5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7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  <c r="ER984" s="3"/>
      <c r="ES984" s="3"/>
      <c r="ET984" s="3"/>
      <c r="EU984" s="3"/>
      <c r="EV984" s="3"/>
      <c r="EW984" s="3"/>
      <c r="EX984" s="3"/>
      <c r="EY984" s="3"/>
      <c r="EZ984" s="3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3"/>
      <c r="FU984" s="3"/>
      <c r="FV984" s="3"/>
      <c r="FW984" s="3"/>
      <c r="FX984" s="3"/>
      <c r="FY984" s="3"/>
      <c r="FZ984" s="3"/>
      <c r="GA984" s="3"/>
      <c r="GB984" s="3"/>
      <c r="GC984" s="3"/>
      <c r="GD984" s="3"/>
      <c r="GE984" s="3"/>
      <c r="GF984" s="3"/>
      <c r="GG984" s="3"/>
      <c r="GH984" s="3"/>
      <c r="GI984" s="3"/>
      <c r="GJ984" s="3"/>
      <c r="GK984" s="3"/>
      <c r="GL984" s="3"/>
      <c r="GM984" s="3"/>
      <c r="GN984" s="3"/>
      <c r="GO984" s="3"/>
      <c r="GP984" s="3"/>
      <c r="GQ984" s="3"/>
      <c r="GR984" s="3"/>
      <c r="GS984" s="3"/>
      <c r="GT984" s="3"/>
      <c r="GU984" s="3"/>
      <c r="GV984" s="3"/>
      <c r="GW984" s="3"/>
      <c r="GX984" s="3"/>
      <c r="GY984" s="3"/>
      <c r="GZ984" s="3"/>
      <c r="HA984" s="3"/>
      <c r="HB984" s="3"/>
      <c r="HC984" s="3"/>
      <c r="HD984" s="3"/>
      <c r="HE984" s="3"/>
      <c r="HF984" s="3"/>
      <c r="HG984" s="3"/>
      <c r="HH984" s="3"/>
      <c r="HI984" s="3"/>
      <c r="HJ984" s="3"/>
      <c r="HK984" s="3"/>
      <c r="HL984" s="3"/>
      <c r="HM984" s="3"/>
      <c r="HN984" s="3"/>
      <c r="HO984" s="3"/>
      <c r="HP984" s="3"/>
      <c r="HQ984" s="3"/>
      <c r="HR984" s="3"/>
      <c r="HS984" s="3"/>
      <c r="HT984" s="3"/>
    </row>
    <row r="985">
      <c r="A985" s="14"/>
      <c r="B985" s="3"/>
      <c r="C985" s="3"/>
      <c r="D985" s="3"/>
      <c r="E985" s="3"/>
      <c r="F985" s="5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7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  <c r="ER985" s="3"/>
      <c r="ES985" s="3"/>
      <c r="ET985" s="3"/>
      <c r="EU985" s="3"/>
      <c r="EV985" s="3"/>
      <c r="EW985" s="3"/>
      <c r="EX985" s="3"/>
      <c r="EY985" s="3"/>
      <c r="EZ985" s="3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3"/>
      <c r="FU985" s="3"/>
      <c r="FV985" s="3"/>
      <c r="FW985" s="3"/>
      <c r="FX985" s="3"/>
      <c r="FY985" s="3"/>
      <c r="FZ985" s="3"/>
      <c r="GA985" s="3"/>
      <c r="GB985" s="3"/>
      <c r="GC985" s="3"/>
      <c r="GD985" s="3"/>
      <c r="GE985" s="3"/>
      <c r="GF985" s="3"/>
      <c r="GG985" s="3"/>
      <c r="GH985" s="3"/>
      <c r="GI985" s="3"/>
      <c r="GJ985" s="3"/>
      <c r="GK985" s="3"/>
      <c r="GL985" s="3"/>
      <c r="GM985" s="3"/>
      <c r="GN985" s="3"/>
      <c r="GO985" s="3"/>
      <c r="GP985" s="3"/>
      <c r="GQ985" s="3"/>
      <c r="GR985" s="3"/>
      <c r="GS985" s="3"/>
      <c r="GT985" s="3"/>
      <c r="GU985" s="3"/>
      <c r="GV985" s="3"/>
      <c r="GW985" s="3"/>
      <c r="GX985" s="3"/>
      <c r="GY985" s="3"/>
      <c r="GZ985" s="3"/>
      <c r="HA985" s="3"/>
      <c r="HB985" s="3"/>
      <c r="HC985" s="3"/>
      <c r="HD985" s="3"/>
      <c r="HE985" s="3"/>
      <c r="HF985" s="3"/>
      <c r="HG985" s="3"/>
      <c r="HH985" s="3"/>
      <c r="HI985" s="3"/>
      <c r="HJ985" s="3"/>
      <c r="HK985" s="3"/>
      <c r="HL985" s="3"/>
      <c r="HM985" s="3"/>
      <c r="HN985" s="3"/>
      <c r="HO985" s="3"/>
      <c r="HP985" s="3"/>
      <c r="HQ985" s="3"/>
      <c r="HR985" s="3"/>
      <c r="HS985" s="3"/>
      <c r="HT985" s="3"/>
    </row>
    <row r="986">
      <c r="A986" s="14"/>
      <c r="B986" s="3"/>
      <c r="C986" s="3"/>
      <c r="D986" s="3"/>
      <c r="E986" s="3"/>
      <c r="F986" s="5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7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  <c r="ER986" s="3"/>
      <c r="ES986" s="3"/>
      <c r="ET986" s="3"/>
      <c r="EU986" s="3"/>
      <c r="EV986" s="3"/>
      <c r="EW986" s="3"/>
      <c r="EX986" s="3"/>
      <c r="EY986" s="3"/>
      <c r="EZ986" s="3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3"/>
      <c r="FU986" s="3"/>
      <c r="FV986" s="3"/>
      <c r="FW986" s="3"/>
      <c r="FX986" s="3"/>
      <c r="FY986" s="3"/>
      <c r="FZ986" s="3"/>
      <c r="GA986" s="3"/>
      <c r="GB986" s="3"/>
      <c r="GC986" s="3"/>
      <c r="GD986" s="3"/>
      <c r="GE986" s="3"/>
      <c r="GF986" s="3"/>
      <c r="GG986" s="3"/>
      <c r="GH986" s="3"/>
      <c r="GI986" s="3"/>
      <c r="GJ986" s="3"/>
      <c r="GK986" s="3"/>
      <c r="GL986" s="3"/>
      <c r="GM986" s="3"/>
      <c r="GN986" s="3"/>
      <c r="GO986" s="3"/>
      <c r="GP986" s="3"/>
      <c r="GQ986" s="3"/>
      <c r="GR986" s="3"/>
      <c r="GS986" s="3"/>
      <c r="GT986" s="3"/>
      <c r="GU986" s="3"/>
      <c r="GV986" s="3"/>
      <c r="GW986" s="3"/>
      <c r="GX986" s="3"/>
      <c r="GY986" s="3"/>
      <c r="GZ986" s="3"/>
      <c r="HA986" s="3"/>
      <c r="HB986" s="3"/>
      <c r="HC986" s="3"/>
      <c r="HD986" s="3"/>
      <c r="HE986" s="3"/>
      <c r="HF986" s="3"/>
      <c r="HG986" s="3"/>
      <c r="HH986" s="3"/>
      <c r="HI986" s="3"/>
      <c r="HJ986" s="3"/>
      <c r="HK986" s="3"/>
      <c r="HL986" s="3"/>
      <c r="HM986" s="3"/>
      <c r="HN986" s="3"/>
      <c r="HO986" s="3"/>
      <c r="HP986" s="3"/>
      <c r="HQ986" s="3"/>
      <c r="HR986" s="3"/>
      <c r="HS986" s="3"/>
      <c r="HT986" s="3"/>
    </row>
    <row r="987">
      <c r="A987" s="14"/>
      <c r="B987" s="3"/>
      <c r="C987" s="3"/>
      <c r="D987" s="3"/>
      <c r="E987" s="3"/>
      <c r="F987" s="5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7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  <c r="ER987" s="3"/>
      <c r="ES987" s="3"/>
      <c r="ET987" s="3"/>
      <c r="EU987" s="3"/>
      <c r="EV987" s="3"/>
      <c r="EW987" s="3"/>
      <c r="EX987" s="3"/>
      <c r="EY987" s="3"/>
      <c r="EZ987" s="3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3"/>
      <c r="FU987" s="3"/>
      <c r="FV987" s="3"/>
      <c r="FW987" s="3"/>
      <c r="FX987" s="3"/>
      <c r="FY987" s="3"/>
      <c r="FZ987" s="3"/>
      <c r="GA987" s="3"/>
      <c r="GB987" s="3"/>
      <c r="GC987" s="3"/>
      <c r="GD987" s="3"/>
      <c r="GE987" s="3"/>
      <c r="GF987" s="3"/>
      <c r="GG987" s="3"/>
      <c r="GH987" s="3"/>
      <c r="GI987" s="3"/>
      <c r="GJ987" s="3"/>
      <c r="GK987" s="3"/>
      <c r="GL987" s="3"/>
      <c r="GM987" s="3"/>
      <c r="GN987" s="3"/>
      <c r="GO987" s="3"/>
      <c r="GP987" s="3"/>
      <c r="GQ987" s="3"/>
      <c r="GR987" s="3"/>
      <c r="GS987" s="3"/>
      <c r="GT987" s="3"/>
      <c r="GU987" s="3"/>
      <c r="GV987" s="3"/>
      <c r="GW987" s="3"/>
      <c r="GX987" s="3"/>
      <c r="GY987" s="3"/>
      <c r="GZ987" s="3"/>
      <c r="HA987" s="3"/>
      <c r="HB987" s="3"/>
      <c r="HC987" s="3"/>
      <c r="HD987" s="3"/>
      <c r="HE987" s="3"/>
      <c r="HF987" s="3"/>
      <c r="HG987" s="3"/>
      <c r="HH987" s="3"/>
      <c r="HI987" s="3"/>
      <c r="HJ987" s="3"/>
      <c r="HK987" s="3"/>
      <c r="HL987" s="3"/>
      <c r="HM987" s="3"/>
      <c r="HN987" s="3"/>
      <c r="HO987" s="3"/>
      <c r="HP987" s="3"/>
      <c r="HQ987" s="3"/>
      <c r="HR987" s="3"/>
      <c r="HS987" s="3"/>
      <c r="HT987" s="3"/>
    </row>
    <row r="988">
      <c r="A988" s="14"/>
      <c r="B988" s="3"/>
      <c r="C988" s="3"/>
      <c r="D988" s="3"/>
      <c r="E988" s="3"/>
      <c r="F988" s="5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7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  <c r="EP988" s="3"/>
      <c r="EQ988" s="3"/>
      <c r="ER988" s="3"/>
      <c r="ES988" s="3"/>
      <c r="ET988" s="3"/>
      <c r="EU988" s="3"/>
      <c r="EV988" s="3"/>
      <c r="EW988" s="3"/>
      <c r="EX988" s="3"/>
      <c r="EY988" s="3"/>
      <c r="EZ988" s="3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3"/>
      <c r="FU988" s="3"/>
      <c r="FV988" s="3"/>
      <c r="FW988" s="3"/>
      <c r="FX988" s="3"/>
      <c r="FY988" s="3"/>
      <c r="FZ988" s="3"/>
      <c r="GA988" s="3"/>
      <c r="GB988" s="3"/>
      <c r="GC988" s="3"/>
      <c r="GD988" s="3"/>
      <c r="GE988" s="3"/>
      <c r="GF988" s="3"/>
      <c r="GG988" s="3"/>
      <c r="GH988" s="3"/>
      <c r="GI988" s="3"/>
      <c r="GJ988" s="3"/>
      <c r="GK988" s="3"/>
      <c r="GL988" s="3"/>
      <c r="GM988" s="3"/>
      <c r="GN988" s="3"/>
      <c r="GO988" s="3"/>
      <c r="GP988" s="3"/>
      <c r="GQ988" s="3"/>
      <c r="GR988" s="3"/>
      <c r="GS988" s="3"/>
      <c r="GT988" s="3"/>
      <c r="GU988" s="3"/>
      <c r="GV988" s="3"/>
      <c r="GW988" s="3"/>
      <c r="GX988" s="3"/>
      <c r="GY988" s="3"/>
      <c r="GZ988" s="3"/>
      <c r="HA988" s="3"/>
      <c r="HB988" s="3"/>
      <c r="HC988" s="3"/>
      <c r="HD988" s="3"/>
      <c r="HE988" s="3"/>
      <c r="HF988" s="3"/>
      <c r="HG988" s="3"/>
      <c r="HH988" s="3"/>
      <c r="HI988" s="3"/>
      <c r="HJ988" s="3"/>
      <c r="HK988" s="3"/>
      <c r="HL988" s="3"/>
      <c r="HM988" s="3"/>
      <c r="HN988" s="3"/>
      <c r="HO988" s="3"/>
      <c r="HP988" s="3"/>
      <c r="HQ988" s="3"/>
      <c r="HR988" s="3"/>
      <c r="HS988" s="3"/>
      <c r="HT988" s="3"/>
    </row>
    <row r="989">
      <c r="A989" s="14"/>
      <c r="B989" s="3"/>
      <c r="C989" s="3"/>
      <c r="D989" s="3"/>
      <c r="E989" s="3"/>
      <c r="F989" s="5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7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  <c r="EP989" s="3"/>
      <c r="EQ989" s="3"/>
      <c r="ER989" s="3"/>
      <c r="ES989" s="3"/>
      <c r="ET989" s="3"/>
      <c r="EU989" s="3"/>
      <c r="EV989" s="3"/>
      <c r="EW989" s="3"/>
      <c r="EX989" s="3"/>
      <c r="EY989" s="3"/>
      <c r="EZ989" s="3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3"/>
      <c r="FU989" s="3"/>
      <c r="FV989" s="3"/>
      <c r="FW989" s="3"/>
      <c r="FX989" s="3"/>
      <c r="FY989" s="3"/>
      <c r="FZ989" s="3"/>
      <c r="GA989" s="3"/>
      <c r="GB989" s="3"/>
      <c r="GC989" s="3"/>
      <c r="GD989" s="3"/>
      <c r="GE989" s="3"/>
      <c r="GF989" s="3"/>
      <c r="GG989" s="3"/>
      <c r="GH989" s="3"/>
      <c r="GI989" s="3"/>
      <c r="GJ989" s="3"/>
      <c r="GK989" s="3"/>
      <c r="GL989" s="3"/>
      <c r="GM989" s="3"/>
      <c r="GN989" s="3"/>
      <c r="GO989" s="3"/>
      <c r="GP989" s="3"/>
      <c r="GQ989" s="3"/>
      <c r="GR989" s="3"/>
      <c r="GS989" s="3"/>
      <c r="GT989" s="3"/>
      <c r="GU989" s="3"/>
      <c r="GV989" s="3"/>
      <c r="GW989" s="3"/>
      <c r="GX989" s="3"/>
      <c r="GY989" s="3"/>
      <c r="GZ989" s="3"/>
      <c r="HA989" s="3"/>
      <c r="HB989" s="3"/>
      <c r="HC989" s="3"/>
      <c r="HD989" s="3"/>
      <c r="HE989" s="3"/>
      <c r="HF989" s="3"/>
      <c r="HG989" s="3"/>
      <c r="HH989" s="3"/>
      <c r="HI989" s="3"/>
      <c r="HJ989" s="3"/>
      <c r="HK989" s="3"/>
      <c r="HL989" s="3"/>
      <c r="HM989" s="3"/>
      <c r="HN989" s="3"/>
      <c r="HO989" s="3"/>
      <c r="HP989" s="3"/>
      <c r="HQ989" s="3"/>
      <c r="HR989" s="3"/>
      <c r="HS989" s="3"/>
      <c r="HT989" s="3"/>
    </row>
    <row r="990">
      <c r="A990" s="14"/>
      <c r="B990" s="3"/>
      <c r="C990" s="3"/>
      <c r="D990" s="3"/>
      <c r="E990" s="3"/>
      <c r="F990" s="5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7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  <c r="ER990" s="3"/>
      <c r="ES990" s="3"/>
      <c r="ET990" s="3"/>
      <c r="EU990" s="3"/>
      <c r="EV990" s="3"/>
      <c r="EW990" s="3"/>
      <c r="EX990" s="3"/>
      <c r="EY990" s="3"/>
      <c r="EZ990" s="3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3"/>
      <c r="FU990" s="3"/>
      <c r="FV990" s="3"/>
      <c r="FW990" s="3"/>
      <c r="FX990" s="3"/>
      <c r="FY990" s="3"/>
      <c r="FZ990" s="3"/>
      <c r="GA990" s="3"/>
      <c r="GB990" s="3"/>
      <c r="GC990" s="3"/>
      <c r="GD990" s="3"/>
      <c r="GE990" s="3"/>
      <c r="GF990" s="3"/>
      <c r="GG990" s="3"/>
      <c r="GH990" s="3"/>
      <c r="GI990" s="3"/>
      <c r="GJ990" s="3"/>
      <c r="GK990" s="3"/>
      <c r="GL990" s="3"/>
      <c r="GM990" s="3"/>
      <c r="GN990" s="3"/>
      <c r="GO990" s="3"/>
      <c r="GP990" s="3"/>
      <c r="GQ990" s="3"/>
      <c r="GR990" s="3"/>
      <c r="GS990" s="3"/>
      <c r="GT990" s="3"/>
      <c r="GU990" s="3"/>
      <c r="GV990" s="3"/>
      <c r="GW990" s="3"/>
      <c r="GX990" s="3"/>
      <c r="GY990" s="3"/>
      <c r="GZ990" s="3"/>
      <c r="HA990" s="3"/>
      <c r="HB990" s="3"/>
      <c r="HC990" s="3"/>
      <c r="HD990" s="3"/>
      <c r="HE990" s="3"/>
      <c r="HF990" s="3"/>
      <c r="HG990" s="3"/>
      <c r="HH990" s="3"/>
      <c r="HI990" s="3"/>
      <c r="HJ990" s="3"/>
      <c r="HK990" s="3"/>
      <c r="HL990" s="3"/>
      <c r="HM990" s="3"/>
      <c r="HN990" s="3"/>
      <c r="HO990" s="3"/>
      <c r="HP990" s="3"/>
      <c r="HQ990" s="3"/>
      <c r="HR990" s="3"/>
      <c r="HS990" s="3"/>
      <c r="HT990" s="3"/>
    </row>
    <row r="991">
      <c r="A991" s="14"/>
      <c r="B991" s="3"/>
      <c r="C991" s="3"/>
      <c r="D991" s="3"/>
      <c r="E991" s="3"/>
      <c r="F991" s="5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7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s="3"/>
      <c r="ET991" s="3"/>
      <c r="EU991" s="3"/>
      <c r="EV991" s="3"/>
      <c r="EW991" s="3"/>
      <c r="EX991" s="3"/>
      <c r="EY991" s="3"/>
      <c r="EZ991" s="3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3"/>
      <c r="FU991" s="3"/>
      <c r="FV991" s="3"/>
      <c r="FW991" s="3"/>
      <c r="FX991" s="3"/>
      <c r="FY991" s="3"/>
      <c r="FZ991" s="3"/>
      <c r="GA991" s="3"/>
      <c r="GB991" s="3"/>
      <c r="GC991" s="3"/>
      <c r="GD991" s="3"/>
      <c r="GE991" s="3"/>
      <c r="GF991" s="3"/>
      <c r="GG991" s="3"/>
      <c r="GH991" s="3"/>
      <c r="GI991" s="3"/>
      <c r="GJ991" s="3"/>
      <c r="GK991" s="3"/>
      <c r="GL991" s="3"/>
      <c r="GM991" s="3"/>
      <c r="GN991" s="3"/>
      <c r="GO991" s="3"/>
      <c r="GP991" s="3"/>
      <c r="GQ991" s="3"/>
      <c r="GR991" s="3"/>
      <c r="GS991" s="3"/>
      <c r="GT991" s="3"/>
      <c r="GU991" s="3"/>
      <c r="GV991" s="3"/>
      <c r="GW991" s="3"/>
      <c r="GX991" s="3"/>
      <c r="GY991" s="3"/>
      <c r="GZ991" s="3"/>
      <c r="HA991" s="3"/>
      <c r="HB991" s="3"/>
      <c r="HC991" s="3"/>
      <c r="HD991" s="3"/>
      <c r="HE991" s="3"/>
      <c r="HF991" s="3"/>
      <c r="HG991" s="3"/>
      <c r="HH991" s="3"/>
      <c r="HI991" s="3"/>
      <c r="HJ991" s="3"/>
      <c r="HK991" s="3"/>
      <c r="HL991" s="3"/>
      <c r="HM991" s="3"/>
      <c r="HN991" s="3"/>
      <c r="HO991" s="3"/>
      <c r="HP991" s="3"/>
      <c r="HQ991" s="3"/>
      <c r="HR991" s="3"/>
      <c r="HS991" s="3"/>
      <c r="HT991" s="3"/>
    </row>
    <row r="992">
      <c r="A992" s="14"/>
      <c r="B992" s="3"/>
      <c r="C992" s="3"/>
      <c r="D992" s="3"/>
      <c r="E992" s="3"/>
      <c r="F992" s="5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7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/>
      <c r="EM992" s="3"/>
      <c r="EN992" s="3"/>
      <c r="EO992" s="3"/>
      <c r="EP992" s="3"/>
      <c r="EQ992" s="3"/>
      <c r="ER992" s="3"/>
      <c r="ES992" s="3"/>
      <c r="ET992" s="3"/>
      <c r="EU992" s="3"/>
      <c r="EV992" s="3"/>
      <c r="EW992" s="3"/>
      <c r="EX992" s="3"/>
      <c r="EY992" s="3"/>
      <c r="EZ992" s="3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3"/>
      <c r="FU992" s="3"/>
      <c r="FV992" s="3"/>
      <c r="FW992" s="3"/>
      <c r="FX992" s="3"/>
      <c r="FY992" s="3"/>
      <c r="FZ992" s="3"/>
      <c r="GA992" s="3"/>
      <c r="GB992" s="3"/>
      <c r="GC992" s="3"/>
      <c r="GD992" s="3"/>
      <c r="GE992" s="3"/>
      <c r="GF992" s="3"/>
      <c r="GG992" s="3"/>
      <c r="GH992" s="3"/>
      <c r="GI992" s="3"/>
      <c r="GJ992" s="3"/>
      <c r="GK992" s="3"/>
      <c r="GL992" s="3"/>
      <c r="GM992" s="3"/>
      <c r="GN992" s="3"/>
      <c r="GO992" s="3"/>
      <c r="GP992" s="3"/>
      <c r="GQ992" s="3"/>
      <c r="GR992" s="3"/>
      <c r="GS992" s="3"/>
      <c r="GT992" s="3"/>
      <c r="GU992" s="3"/>
      <c r="GV992" s="3"/>
      <c r="GW992" s="3"/>
      <c r="GX992" s="3"/>
      <c r="GY992" s="3"/>
      <c r="GZ992" s="3"/>
      <c r="HA992" s="3"/>
      <c r="HB992" s="3"/>
      <c r="HC992" s="3"/>
      <c r="HD992" s="3"/>
      <c r="HE992" s="3"/>
      <c r="HF992" s="3"/>
      <c r="HG992" s="3"/>
      <c r="HH992" s="3"/>
      <c r="HI992" s="3"/>
      <c r="HJ992" s="3"/>
      <c r="HK992" s="3"/>
      <c r="HL992" s="3"/>
      <c r="HM992" s="3"/>
      <c r="HN992" s="3"/>
      <c r="HO992" s="3"/>
      <c r="HP992" s="3"/>
      <c r="HQ992" s="3"/>
      <c r="HR992" s="3"/>
      <c r="HS992" s="3"/>
      <c r="HT992" s="3"/>
    </row>
    <row r="993">
      <c r="A993" s="14"/>
      <c r="B993" s="3"/>
      <c r="C993" s="3"/>
      <c r="D993" s="3"/>
      <c r="E993" s="3"/>
      <c r="F993" s="5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7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  <c r="EP993" s="3"/>
      <c r="EQ993" s="3"/>
      <c r="ER993" s="3"/>
      <c r="ES993" s="3"/>
      <c r="ET993" s="3"/>
      <c r="EU993" s="3"/>
      <c r="EV993" s="3"/>
      <c r="EW993" s="3"/>
      <c r="EX993" s="3"/>
      <c r="EY993" s="3"/>
      <c r="EZ993" s="3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3"/>
      <c r="FU993" s="3"/>
      <c r="FV993" s="3"/>
      <c r="FW993" s="3"/>
      <c r="FX993" s="3"/>
      <c r="FY993" s="3"/>
      <c r="FZ993" s="3"/>
      <c r="GA993" s="3"/>
      <c r="GB993" s="3"/>
      <c r="GC993" s="3"/>
      <c r="GD993" s="3"/>
      <c r="GE993" s="3"/>
      <c r="GF993" s="3"/>
      <c r="GG993" s="3"/>
      <c r="GH993" s="3"/>
      <c r="GI993" s="3"/>
      <c r="GJ993" s="3"/>
      <c r="GK993" s="3"/>
      <c r="GL993" s="3"/>
      <c r="GM993" s="3"/>
      <c r="GN993" s="3"/>
      <c r="GO993" s="3"/>
      <c r="GP993" s="3"/>
      <c r="GQ993" s="3"/>
      <c r="GR993" s="3"/>
      <c r="GS993" s="3"/>
      <c r="GT993" s="3"/>
      <c r="GU993" s="3"/>
      <c r="GV993" s="3"/>
      <c r="GW993" s="3"/>
      <c r="GX993" s="3"/>
      <c r="GY993" s="3"/>
      <c r="GZ993" s="3"/>
      <c r="HA993" s="3"/>
      <c r="HB993" s="3"/>
      <c r="HC993" s="3"/>
      <c r="HD993" s="3"/>
      <c r="HE993" s="3"/>
      <c r="HF993" s="3"/>
      <c r="HG993" s="3"/>
      <c r="HH993" s="3"/>
      <c r="HI993" s="3"/>
      <c r="HJ993" s="3"/>
      <c r="HK993" s="3"/>
      <c r="HL993" s="3"/>
      <c r="HM993" s="3"/>
      <c r="HN993" s="3"/>
      <c r="HO993" s="3"/>
      <c r="HP993" s="3"/>
      <c r="HQ993" s="3"/>
      <c r="HR993" s="3"/>
      <c r="HS993" s="3"/>
      <c r="HT993" s="3"/>
    </row>
    <row r="994">
      <c r="A994" s="14"/>
      <c r="B994" s="3"/>
      <c r="C994" s="3"/>
      <c r="D994" s="3"/>
      <c r="E994" s="3"/>
      <c r="F994" s="5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7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  <c r="EP994" s="3"/>
      <c r="EQ994" s="3"/>
      <c r="ER994" s="3"/>
      <c r="ES994" s="3"/>
      <c r="ET994" s="3"/>
      <c r="EU994" s="3"/>
      <c r="EV994" s="3"/>
      <c r="EW994" s="3"/>
      <c r="EX994" s="3"/>
      <c r="EY994" s="3"/>
      <c r="EZ994" s="3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  <c r="FT994" s="3"/>
      <c r="FU994" s="3"/>
      <c r="FV994" s="3"/>
      <c r="FW994" s="3"/>
      <c r="FX994" s="3"/>
      <c r="FY994" s="3"/>
      <c r="FZ994" s="3"/>
      <c r="GA994" s="3"/>
      <c r="GB994" s="3"/>
      <c r="GC994" s="3"/>
      <c r="GD994" s="3"/>
      <c r="GE994" s="3"/>
      <c r="GF994" s="3"/>
      <c r="GG994" s="3"/>
      <c r="GH994" s="3"/>
      <c r="GI994" s="3"/>
      <c r="GJ994" s="3"/>
      <c r="GK994" s="3"/>
      <c r="GL994" s="3"/>
      <c r="GM994" s="3"/>
      <c r="GN994" s="3"/>
      <c r="GO994" s="3"/>
      <c r="GP994" s="3"/>
      <c r="GQ994" s="3"/>
      <c r="GR994" s="3"/>
      <c r="GS994" s="3"/>
      <c r="GT994" s="3"/>
      <c r="GU994" s="3"/>
      <c r="GV994" s="3"/>
      <c r="GW994" s="3"/>
      <c r="GX994" s="3"/>
      <c r="GY994" s="3"/>
      <c r="GZ994" s="3"/>
      <c r="HA994" s="3"/>
      <c r="HB994" s="3"/>
      <c r="HC994" s="3"/>
      <c r="HD994" s="3"/>
      <c r="HE994" s="3"/>
      <c r="HF994" s="3"/>
      <c r="HG994" s="3"/>
      <c r="HH994" s="3"/>
      <c r="HI994" s="3"/>
      <c r="HJ994" s="3"/>
      <c r="HK994" s="3"/>
      <c r="HL994" s="3"/>
      <c r="HM994" s="3"/>
      <c r="HN994" s="3"/>
      <c r="HO994" s="3"/>
      <c r="HP994" s="3"/>
      <c r="HQ994" s="3"/>
      <c r="HR994" s="3"/>
      <c r="HS994" s="3"/>
      <c r="HT994" s="3"/>
    </row>
    <row r="995">
      <c r="A995" s="14"/>
      <c r="B995" s="3"/>
      <c r="C995" s="3"/>
      <c r="D995" s="3"/>
      <c r="E995" s="3"/>
      <c r="F995" s="5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7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  <c r="EP995" s="3"/>
      <c r="EQ995" s="3"/>
      <c r="ER995" s="3"/>
      <c r="ES995" s="3"/>
      <c r="ET995" s="3"/>
      <c r="EU995" s="3"/>
      <c r="EV995" s="3"/>
      <c r="EW995" s="3"/>
      <c r="EX995" s="3"/>
      <c r="EY995" s="3"/>
      <c r="EZ995" s="3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  <c r="FT995" s="3"/>
      <c r="FU995" s="3"/>
      <c r="FV995" s="3"/>
      <c r="FW995" s="3"/>
      <c r="FX995" s="3"/>
      <c r="FY995" s="3"/>
      <c r="FZ995" s="3"/>
      <c r="GA995" s="3"/>
      <c r="GB995" s="3"/>
      <c r="GC995" s="3"/>
      <c r="GD995" s="3"/>
      <c r="GE995" s="3"/>
      <c r="GF995" s="3"/>
      <c r="GG995" s="3"/>
      <c r="GH995" s="3"/>
      <c r="GI995" s="3"/>
      <c r="GJ995" s="3"/>
      <c r="GK995" s="3"/>
      <c r="GL995" s="3"/>
      <c r="GM995" s="3"/>
      <c r="GN995" s="3"/>
      <c r="GO995" s="3"/>
      <c r="GP995" s="3"/>
      <c r="GQ995" s="3"/>
      <c r="GR995" s="3"/>
      <c r="GS995" s="3"/>
      <c r="GT995" s="3"/>
      <c r="GU995" s="3"/>
      <c r="GV995" s="3"/>
      <c r="GW995" s="3"/>
      <c r="GX995" s="3"/>
      <c r="GY995" s="3"/>
      <c r="GZ995" s="3"/>
      <c r="HA995" s="3"/>
      <c r="HB995" s="3"/>
      <c r="HC995" s="3"/>
      <c r="HD995" s="3"/>
      <c r="HE995" s="3"/>
      <c r="HF995" s="3"/>
      <c r="HG995" s="3"/>
      <c r="HH995" s="3"/>
      <c r="HI995" s="3"/>
      <c r="HJ995" s="3"/>
      <c r="HK995" s="3"/>
      <c r="HL995" s="3"/>
      <c r="HM995" s="3"/>
      <c r="HN995" s="3"/>
      <c r="HO995" s="3"/>
      <c r="HP995" s="3"/>
      <c r="HQ995" s="3"/>
      <c r="HR995" s="3"/>
      <c r="HS995" s="3"/>
      <c r="HT995" s="3"/>
    </row>
    <row r="996">
      <c r="A996" s="14"/>
      <c r="B996" s="3"/>
      <c r="C996" s="3"/>
      <c r="D996" s="3"/>
      <c r="E996" s="3"/>
      <c r="F996" s="5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7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  <c r="ER996" s="3"/>
      <c r="ES996" s="3"/>
      <c r="ET996" s="3"/>
      <c r="EU996" s="3"/>
      <c r="EV996" s="3"/>
      <c r="EW996" s="3"/>
      <c r="EX996" s="3"/>
      <c r="EY996" s="3"/>
      <c r="EZ996" s="3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3"/>
      <c r="FU996" s="3"/>
      <c r="FV996" s="3"/>
      <c r="FW996" s="3"/>
      <c r="FX996" s="3"/>
      <c r="FY996" s="3"/>
      <c r="FZ996" s="3"/>
      <c r="GA996" s="3"/>
      <c r="GB996" s="3"/>
      <c r="GC996" s="3"/>
      <c r="GD996" s="3"/>
      <c r="GE996" s="3"/>
      <c r="GF996" s="3"/>
      <c r="GG996" s="3"/>
      <c r="GH996" s="3"/>
      <c r="GI996" s="3"/>
      <c r="GJ996" s="3"/>
      <c r="GK996" s="3"/>
      <c r="GL996" s="3"/>
      <c r="GM996" s="3"/>
      <c r="GN996" s="3"/>
      <c r="GO996" s="3"/>
      <c r="GP996" s="3"/>
      <c r="GQ996" s="3"/>
      <c r="GR996" s="3"/>
      <c r="GS996" s="3"/>
      <c r="GT996" s="3"/>
      <c r="GU996" s="3"/>
      <c r="GV996" s="3"/>
      <c r="GW996" s="3"/>
      <c r="GX996" s="3"/>
      <c r="GY996" s="3"/>
      <c r="GZ996" s="3"/>
      <c r="HA996" s="3"/>
      <c r="HB996" s="3"/>
      <c r="HC996" s="3"/>
      <c r="HD996" s="3"/>
      <c r="HE996" s="3"/>
      <c r="HF996" s="3"/>
      <c r="HG996" s="3"/>
      <c r="HH996" s="3"/>
      <c r="HI996" s="3"/>
      <c r="HJ996" s="3"/>
      <c r="HK996" s="3"/>
      <c r="HL996" s="3"/>
      <c r="HM996" s="3"/>
      <c r="HN996" s="3"/>
      <c r="HO996" s="3"/>
      <c r="HP996" s="3"/>
      <c r="HQ996" s="3"/>
      <c r="HR996" s="3"/>
      <c r="HS996" s="3"/>
      <c r="HT996" s="3"/>
    </row>
    <row r="997">
      <c r="A997" s="14"/>
      <c r="B997" s="3"/>
      <c r="C997" s="3"/>
      <c r="D997" s="3"/>
      <c r="E997" s="3"/>
      <c r="F997" s="5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7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  <c r="ER997" s="3"/>
      <c r="ES997" s="3"/>
      <c r="ET997" s="3"/>
      <c r="EU997" s="3"/>
      <c r="EV997" s="3"/>
      <c r="EW997" s="3"/>
      <c r="EX997" s="3"/>
      <c r="EY997" s="3"/>
      <c r="EZ997" s="3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  <c r="FL997" s="3"/>
      <c r="FM997" s="3"/>
      <c r="FN997" s="3"/>
      <c r="FO997" s="3"/>
      <c r="FP997" s="3"/>
      <c r="FQ997" s="3"/>
      <c r="FR997" s="3"/>
      <c r="FS997" s="3"/>
      <c r="FT997" s="3"/>
      <c r="FU997" s="3"/>
      <c r="FV997" s="3"/>
      <c r="FW997" s="3"/>
      <c r="FX997" s="3"/>
      <c r="FY997" s="3"/>
      <c r="FZ997" s="3"/>
      <c r="GA997" s="3"/>
      <c r="GB997" s="3"/>
      <c r="GC997" s="3"/>
      <c r="GD997" s="3"/>
      <c r="GE997" s="3"/>
      <c r="GF997" s="3"/>
      <c r="GG997" s="3"/>
      <c r="GH997" s="3"/>
      <c r="GI997" s="3"/>
      <c r="GJ997" s="3"/>
      <c r="GK997" s="3"/>
      <c r="GL997" s="3"/>
      <c r="GM997" s="3"/>
      <c r="GN997" s="3"/>
      <c r="GO997" s="3"/>
      <c r="GP997" s="3"/>
      <c r="GQ997" s="3"/>
      <c r="GR997" s="3"/>
      <c r="GS997" s="3"/>
      <c r="GT997" s="3"/>
      <c r="GU997" s="3"/>
      <c r="GV997" s="3"/>
      <c r="GW997" s="3"/>
      <c r="GX997" s="3"/>
      <c r="GY997" s="3"/>
      <c r="GZ997" s="3"/>
      <c r="HA997" s="3"/>
      <c r="HB997" s="3"/>
      <c r="HC997" s="3"/>
      <c r="HD997" s="3"/>
      <c r="HE997" s="3"/>
      <c r="HF997" s="3"/>
      <c r="HG997" s="3"/>
      <c r="HH997" s="3"/>
      <c r="HI997" s="3"/>
      <c r="HJ997" s="3"/>
      <c r="HK997" s="3"/>
      <c r="HL997" s="3"/>
      <c r="HM997" s="3"/>
      <c r="HN997" s="3"/>
      <c r="HO997" s="3"/>
      <c r="HP997" s="3"/>
      <c r="HQ997" s="3"/>
      <c r="HR997" s="3"/>
      <c r="HS997" s="3"/>
      <c r="HT997" s="3"/>
    </row>
    <row r="998">
      <c r="A998" s="14"/>
      <c r="B998" s="3"/>
      <c r="C998" s="3"/>
      <c r="D998" s="3"/>
      <c r="E998" s="3"/>
      <c r="F998" s="5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7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/>
      <c r="EM998" s="3"/>
      <c r="EN998" s="3"/>
      <c r="EO998" s="3"/>
      <c r="EP998" s="3"/>
      <c r="EQ998" s="3"/>
      <c r="ER998" s="3"/>
      <c r="ES998" s="3"/>
      <c r="ET998" s="3"/>
      <c r="EU998" s="3"/>
      <c r="EV998" s="3"/>
      <c r="EW998" s="3"/>
      <c r="EX998" s="3"/>
      <c r="EY998" s="3"/>
      <c r="EZ998" s="3"/>
      <c r="FA998" s="3"/>
      <c r="FB998" s="3"/>
      <c r="FC998" s="3"/>
      <c r="FD998" s="3"/>
      <c r="FE998" s="3"/>
      <c r="FF998" s="3"/>
      <c r="FG998" s="3"/>
      <c r="FH998" s="3"/>
      <c r="FI998" s="3"/>
      <c r="FJ998" s="3"/>
      <c r="FK998" s="3"/>
      <c r="FL998" s="3"/>
      <c r="FM998" s="3"/>
      <c r="FN998" s="3"/>
      <c r="FO998" s="3"/>
      <c r="FP998" s="3"/>
      <c r="FQ998" s="3"/>
      <c r="FR998" s="3"/>
      <c r="FS998" s="3"/>
      <c r="FT998" s="3"/>
      <c r="FU998" s="3"/>
      <c r="FV998" s="3"/>
      <c r="FW998" s="3"/>
      <c r="FX998" s="3"/>
      <c r="FY998" s="3"/>
      <c r="FZ998" s="3"/>
      <c r="GA998" s="3"/>
      <c r="GB998" s="3"/>
      <c r="GC998" s="3"/>
      <c r="GD998" s="3"/>
      <c r="GE998" s="3"/>
      <c r="GF998" s="3"/>
      <c r="GG998" s="3"/>
      <c r="GH998" s="3"/>
      <c r="GI998" s="3"/>
      <c r="GJ998" s="3"/>
      <c r="GK998" s="3"/>
      <c r="GL998" s="3"/>
      <c r="GM998" s="3"/>
      <c r="GN998" s="3"/>
      <c r="GO998" s="3"/>
      <c r="GP998" s="3"/>
      <c r="GQ998" s="3"/>
      <c r="GR998" s="3"/>
      <c r="GS998" s="3"/>
      <c r="GT998" s="3"/>
      <c r="GU998" s="3"/>
      <c r="GV998" s="3"/>
      <c r="GW998" s="3"/>
      <c r="GX998" s="3"/>
      <c r="GY998" s="3"/>
      <c r="GZ998" s="3"/>
      <c r="HA998" s="3"/>
      <c r="HB998" s="3"/>
      <c r="HC998" s="3"/>
      <c r="HD998" s="3"/>
      <c r="HE998" s="3"/>
      <c r="HF998" s="3"/>
      <c r="HG998" s="3"/>
      <c r="HH998" s="3"/>
      <c r="HI998" s="3"/>
      <c r="HJ998" s="3"/>
      <c r="HK998" s="3"/>
      <c r="HL998" s="3"/>
      <c r="HM998" s="3"/>
      <c r="HN998" s="3"/>
      <c r="HO998" s="3"/>
      <c r="HP998" s="3"/>
      <c r="HQ998" s="3"/>
      <c r="HR998" s="3"/>
      <c r="HS998" s="3"/>
      <c r="HT998" s="3"/>
    </row>
    <row r="999">
      <c r="A999" s="14"/>
      <c r="B999" s="3"/>
      <c r="C999" s="3"/>
      <c r="D999" s="3"/>
      <c r="E999" s="3"/>
      <c r="F999" s="5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7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/>
      <c r="EN999" s="3"/>
      <c r="EO999" s="3"/>
      <c r="EP999" s="3"/>
      <c r="EQ999" s="3"/>
      <c r="ER999" s="3"/>
      <c r="ES999" s="3"/>
      <c r="ET999" s="3"/>
      <c r="EU999" s="3"/>
      <c r="EV999" s="3"/>
      <c r="EW999" s="3"/>
      <c r="EX999" s="3"/>
      <c r="EY999" s="3"/>
      <c r="EZ999" s="3"/>
      <c r="FA999" s="3"/>
      <c r="FB999" s="3"/>
      <c r="FC999" s="3"/>
      <c r="FD999" s="3"/>
      <c r="FE999" s="3"/>
      <c r="FF999" s="3"/>
      <c r="FG999" s="3"/>
      <c r="FH999" s="3"/>
      <c r="FI999" s="3"/>
      <c r="FJ999" s="3"/>
      <c r="FK999" s="3"/>
      <c r="FL999" s="3"/>
      <c r="FM999" s="3"/>
      <c r="FN999" s="3"/>
      <c r="FO999" s="3"/>
      <c r="FP999" s="3"/>
      <c r="FQ999" s="3"/>
      <c r="FR999" s="3"/>
      <c r="FS999" s="3"/>
      <c r="FT999" s="3"/>
      <c r="FU999" s="3"/>
      <c r="FV999" s="3"/>
      <c r="FW999" s="3"/>
      <c r="FX999" s="3"/>
      <c r="FY999" s="3"/>
      <c r="FZ999" s="3"/>
      <c r="GA999" s="3"/>
      <c r="GB999" s="3"/>
      <c r="GC999" s="3"/>
      <c r="GD999" s="3"/>
      <c r="GE999" s="3"/>
      <c r="GF999" s="3"/>
      <c r="GG999" s="3"/>
      <c r="GH999" s="3"/>
      <c r="GI999" s="3"/>
      <c r="GJ999" s="3"/>
      <c r="GK999" s="3"/>
      <c r="GL999" s="3"/>
      <c r="GM999" s="3"/>
      <c r="GN999" s="3"/>
      <c r="GO999" s="3"/>
      <c r="GP999" s="3"/>
      <c r="GQ999" s="3"/>
      <c r="GR999" s="3"/>
      <c r="GS999" s="3"/>
      <c r="GT999" s="3"/>
      <c r="GU999" s="3"/>
      <c r="GV999" s="3"/>
      <c r="GW999" s="3"/>
      <c r="GX999" s="3"/>
      <c r="GY999" s="3"/>
      <c r="GZ999" s="3"/>
      <c r="HA999" s="3"/>
      <c r="HB999" s="3"/>
      <c r="HC999" s="3"/>
      <c r="HD999" s="3"/>
      <c r="HE999" s="3"/>
      <c r="HF999" s="3"/>
      <c r="HG999" s="3"/>
      <c r="HH999" s="3"/>
      <c r="HI999" s="3"/>
      <c r="HJ999" s="3"/>
      <c r="HK999" s="3"/>
      <c r="HL999" s="3"/>
      <c r="HM999" s="3"/>
      <c r="HN999" s="3"/>
      <c r="HO999" s="3"/>
      <c r="HP999" s="3"/>
      <c r="HQ999" s="3"/>
      <c r="HR999" s="3"/>
      <c r="HS999" s="3"/>
      <c r="HT999" s="3"/>
    </row>
    <row r="1000">
      <c r="A1000" s="14"/>
      <c r="B1000" s="3"/>
      <c r="C1000" s="3"/>
      <c r="D1000" s="3"/>
      <c r="E1000" s="3"/>
      <c r="F1000" s="5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7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/>
      <c r="EL1000" s="3"/>
      <c r="EM1000" s="3"/>
      <c r="EN1000" s="3"/>
      <c r="EO1000" s="3"/>
      <c r="EP1000" s="3"/>
      <c r="EQ1000" s="3"/>
      <c r="ER1000" s="3"/>
      <c r="ES1000" s="3"/>
      <c r="ET1000" s="3"/>
      <c r="EU1000" s="3"/>
      <c r="EV1000" s="3"/>
      <c r="EW1000" s="3"/>
      <c r="EX1000" s="3"/>
      <c r="EY1000" s="3"/>
      <c r="EZ1000" s="3"/>
      <c r="FA1000" s="3"/>
      <c r="FB1000" s="3"/>
      <c r="FC1000" s="3"/>
      <c r="FD1000" s="3"/>
      <c r="FE1000" s="3"/>
      <c r="FF1000" s="3"/>
      <c r="FG1000" s="3"/>
      <c r="FH1000" s="3"/>
      <c r="FI1000" s="3"/>
      <c r="FJ1000" s="3"/>
      <c r="FK1000" s="3"/>
      <c r="FL1000" s="3"/>
      <c r="FM1000" s="3"/>
      <c r="FN1000" s="3"/>
      <c r="FO1000" s="3"/>
      <c r="FP1000" s="3"/>
      <c r="FQ1000" s="3"/>
      <c r="FR1000" s="3"/>
      <c r="FS1000" s="3"/>
      <c r="FT1000" s="3"/>
      <c r="FU1000" s="3"/>
      <c r="FV1000" s="3"/>
      <c r="FW1000" s="3"/>
      <c r="FX1000" s="3"/>
      <c r="FY1000" s="3"/>
      <c r="FZ1000" s="3"/>
      <c r="GA1000" s="3"/>
      <c r="GB1000" s="3"/>
      <c r="GC1000" s="3"/>
      <c r="GD1000" s="3"/>
      <c r="GE1000" s="3"/>
      <c r="GF1000" s="3"/>
      <c r="GG1000" s="3"/>
      <c r="GH1000" s="3"/>
      <c r="GI1000" s="3"/>
      <c r="GJ1000" s="3"/>
      <c r="GK1000" s="3"/>
      <c r="GL1000" s="3"/>
      <c r="GM1000" s="3"/>
      <c r="GN1000" s="3"/>
      <c r="GO1000" s="3"/>
      <c r="GP1000" s="3"/>
      <c r="GQ1000" s="3"/>
      <c r="GR1000" s="3"/>
      <c r="GS1000" s="3"/>
      <c r="GT1000" s="3"/>
      <c r="GU1000" s="3"/>
      <c r="GV1000" s="3"/>
      <c r="GW1000" s="3"/>
      <c r="GX1000" s="3"/>
      <c r="GY1000" s="3"/>
      <c r="GZ1000" s="3"/>
      <c r="HA1000" s="3"/>
      <c r="HB1000" s="3"/>
      <c r="HC1000" s="3"/>
      <c r="HD1000" s="3"/>
      <c r="HE1000" s="3"/>
      <c r="HF1000" s="3"/>
      <c r="HG1000" s="3"/>
      <c r="HH1000" s="3"/>
      <c r="HI1000" s="3"/>
      <c r="HJ1000" s="3"/>
      <c r="HK1000" s="3"/>
      <c r="HL1000" s="3"/>
      <c r="HM1000" s="3"/>
      <c r="HN1000" s="3"/>
      <c r="HO1000" s="3"/>
      <c r="HP1000" s="3"/>
      <c r="HQ1000" s="3"/>
      <c r="HR1000" s="3"/>
      <c r="HS1000" s="3"/>
      <c r="HT1000" s="3"/>
    </row>
    <row r="1001">
      <c r="A1001" s="14"/>
      <c r="B1001" s="3"/>
      <c r="C1001" s="3"/>
      <c r="D1001" s="3"/>
      <c r="E1001" s="3"/>
      <c r="F1001" s="5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7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  <c r="DP1001" s="3"/>
      <c r="DQ1001" s="3"/>
      <c r="DR1001" s="3"/>
      <c r="DS1001" s="3"/>
      <c r="DT1001" s="3"/>
      <c r="DU1001" s="3"/>
      <c r="DV1001" s="3"/>
      <c r="DW1001" s="3"/>
      <c r="DX1001" s="3"/>
      <c r="DY1001" s="3"/>
      <c r="DZ1001" s="3"/>
      <c r="EA1001" s="3"/>
      <c r="EB1001" s="3"/>
      <c r="EC1001" s="3"/>
      <c r="ED1001" s="3"/>
      <c r="EE1001" s="3"/>
      <c r="EF1001" s="3"/>
      <c r="EG1001" s="3"/>
      <c r="EH1001" s="3"/>
      <c r="EI1001" s="3"/>
      <c r="EJ1001" s="3"/>
      <c r="EK1001" s="3"/>
      <c r="EL1001" s="3"/>
      <c r="EM1001" s="3"/>
      <c r="EN1001" s="3"/>
      <c r="EO1001" s="3"/>
      <c r="EP1001" s="3"/>
      <c r="EQ1001" s="3"/>
      <c r="ER1001" s="3"/>
      <c r="ES1001" s="3"/>
      <c r="ET1001" s="3"/>
      <c r="EU1001" s="3"/>
      <c r="EV1001" s="3"/>
      <c r="EW1001" s="3"/>
      <c r="EX1001" s="3"/>
      <c r="EY1001" s="3"/>
      <c r="EZ1001" s="3"/>
      <c r="FA1001" s="3"/>
      <c r="FB1001" s="3"/>
      <c r="FC1001" s="3"/>
      <c r="FD1001" s="3"/>
      <c r="FE1001" s="3"/>
      <c r="FF1001" s="3"/>
      <c r="FG1001" s="3"/>
      <c r="FH1001" s="3"/>
      <c r="FI1001" s="3"/>
      <c r="FJ1001" s="3"/>
      <c r="FK1001" s="3"/>
      <c r="FL1001" s="3"/>
      <c r="FM1001" s="3"/>
      <c r="FN1001" s="3"/>
      <c r="FO1001" s="3"/>
      <c r="FP1001" s="3"/>
      <c r="FQ1001" s="3"/>
      <c r="FR1001" s="3"/>
      <c r="FS1001" s="3"/>
      <c r="FT1001" s="3"/>
      <c r="FU1001" s="3"/>
      <c r="FV1001" s="3"/>
      <c r="FW1001" s="3"/>
      <c r="FX1001" s="3"/>
      <c r="FY1001" s="3"/>
      <c r="FZ1001" s="3"/>
      <c r="GA1001" s="3"/>
      <c r="GB1001" s="3"/>
      <c r="GC1001" s="3"/>
      <c r="GD1001" s="3"/>
      <c r="GE1001" s="3"/>
      <c r="GF1001" s="3"/>
      <c r="GG1001" s="3"/>
      <c r="GH1001" s="3"/>
      <c r="GI1001" s="3"/>
      <c r="GJ1001" s="3"/>
      <c r="GK1001" s="3"/>
      <c r="GL1001" s="3"/>
      <c r="GM1001" s="3"/>
      <c r="GN1001" s="3"/>
      <c r="GO1001" s="3"/>
      <c r="GP1001" s="3"/>
      <c r="GQ1001" s="3"/>
      <c r="GR1001" s="3"/>
      <c r="GS1001" s="3"/>
      <c r="GT1001" s="3"/>
      <c r="GU1001" s="3"/>
      <c r="GV1001" s="3"/>
      <c r="GW1001" s="3"/>
      <c r="GX1001" s="3"/>
      <c r="GY1001" s="3"/>
      <c r="GZ1001" s="3"/>
      <c r="HA1001" s="3"/>
      <c r="HB1001" s="3"/>
      <c r="HC1001" s="3"/>
      <c r="HD1001" s="3"/>
      <c r="HE1001" s="3"/>
      <c r="HF1001" s="3"/>
      <c r="HG1001" s="3"/>
      <c r="HH1001" s="3"/>
      <c r="HI1001" s="3"/>
      <c r="HJ1001" s="3"/>
      <c r="HK1001" s="3"/>
      <c r="HL1001" s="3"/>
      <c r="HM1001" s="3"/>
      <c r="HN1001" s="3"/>
      <c r="HO1001" s="3"/>
      <c r="HP1001" s="3"/>
      <c r="HQ1001" s="3"/>
      <c r="HR1001" s="3"/>
      <c r="HS1001" s="3"/>
      <c r="HT1001" s="3"/>
    </row>
    <row r="1002">
      <c r="A1002" s="14"/>
      <c r="B1002" s="3"/>
      <c r="C1002" s="3"/>
      <c r="D1002" s="3"/>
      <c r="E1002" s="3"/>
      <c r="F1002" s="5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7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  <c r="DG1002" s="3"/>
      <c r="DH1002" s="3"/>
      <c r="DI1002" s="3"/>
      <c r="DJ1002" s="3"/>
      <c r="DK1002" s="3"/>
      <c r="DL1002" s="3"/>
      <c r="DM1002" s="3"/>
      <c r="DN1002" s="3"/>
      <c r="DO1002" s="3"/>
      <c r="DP1002" s="3"/>
      <c r="DQ1002" s="3"/>
      <c r="DR1002" s="3"/>
      <c r="DS1002" s="3"/>
      <c r="DT1002" s="3"/>
      <c r="DU1002" s="3"/>
      <c r="DV1002" s="3"/>
      <c r="DW1002" s="3"/>
      <c r="DX1002" s="3"/>
      <c r="DY1002" s="3"/>
      <c r="DZ1002" s="3"/>
      <c r="EA1002" s="3"/>
      <c r="EB1002" s="3"/>
      <c r="EC1002" s="3"/>
      <c r="ED1002" s="3"/>
      <c r="EE1002" s="3"/>
      <c r="EF1002" s="3"/>
      <c r="EG1002" s="3"/>
      <c r="EH1002" s="3"/>
      <c r="EI1002" s="3"/>
      <c r="EJ1002" s="3"/>
      <c r="EK1002" s="3"/>
      <c r="EL1002" s="3"/>
      <c r="EM1002" s="3"/>
      <c r="EN1002" s="3"/>
      <c r="EO1002" s="3"/>
      <c r="EP1002" s="3"/>
      <c r="EQ1002" s="3"/>
      <c r="ER1002" s="3"/>
      <c r="ES1002" s="3"/>
      <c r="ET1002" s="3"/>
      <c r="EU1002" s="3"/>
      <c r="EV1002" s="3"/>
      <c r="EW1002" s="3"/>
      <c r="EX1002" s="3"/>
      <c r="EY1002" s="3"/>
      <c r="EZ1002" s="3"/>
      <c r="FA1002" s="3"/>
      <c r="FB1002" s="3"/>
      <c r="FC1002" s="3"/>
      <c r="FD1002" s="3"/>
      <c r="FE1002" s="3"/>
      <c r="FF1002" s="3"/>
      <c r="FG1002" s="3"/>
      <c r="FH1002" s="3"/>
      <c r="FI1002" s="3"/>
      <c r="FJ1002" s="3"/>
      <c r="FK1002" s="3"/>
      <c r="FL1002" s="3"/>
      <c r="FM1002" s="3"/>
      <c r="FN1002" s="3"/>
      <c r="FO1002" s="3"/>
      <c r="FP1002" s="3"/>
      <c r="FQ1002" s="3"/>
      <c r="FR1002" s="3"/>
      <c r="FS1002" s="3"/>
      <c r="FT1002" s="3"/>
      <c r="FU1002" s="3"/>
      <c r="FV1002" s="3"/>
      <c r="FW1002" s="3"/>
      <c r="FX1002" s="3"/>
      <c r="FY1002" s="3"/>
      <c r="FZ1002" s="3"/>
      <c r="GA1002" s="3"/>
      <c r="GB1002" s="3"/>
      <c r="GC1002" s="3"/>
      <c r="GD1002" s="3"/>
      <c r="GE1002" s="3"/>
      <c r="GF1002" s="3"/>
      <c r="GG1002" s="3"/>
      <c r="GH1002" s="3"/>
      <c r="GI1002" s="3"/>
      <c r="GJ1002" s="3"/>
      <c r="GK1002" s="3"/>
      <c r="GL1002" s="3"/>
      <c r="GM1002" s="3"/>
      <c r="GN1002" s="3"/>
      <c r="GO1002" s="3"/>
      <c r="GP1002" s="3"/>
      <c r="GQ1002" s="3"/>
      <c r="GR1002" s="3"/>
      <c r="GS1002" s="3"/>
      <c r="GT1002" s="3"/>
      <c r="GU1002" s="3"/>
      <c r="GV1002" s="3"/>
      <c r="GW1002" s="3"/>
      <c r="GX1002" s="3"/>
      <c r="GY1002" s="3"/>
      <c r="GZ1002" s="3"/>
      <c r="HA1002" s="3"/>
      <c r="HB1002" s="3"/>
      <c r="HC1002" s="3"/>
      <c r="HD1002" s="3"/>
      <c r="HE1002" s="3"/>
      <c r="HF1002" s="3"/>
      <c r="HG1002" s="3"/>
      <c r="HH1002" s="3"/>
      <c r="HI1002" s="3"/>
      <c r="HJ1002" s="3"/>
      <c r="HK1002" s="3"/>
      <c r="HL1002" s="3"/>
      <c r="HM1002" s="3"/>
      <c r="HN1002" s="3"/>
      <c r="HO1002" s="3"/>
      <c r="HP1002" s="3"/>
      <c r="HQ1002" s="3"/>
      <c r="HR1002" s="3"/>
      <c r="HS1002" s="3"/>
      <c r="HT1002" s="3"/>
    </row>
    <row r="1003">
      <c r="A1003" s="14"/>
      <c r="B1003" s="3"/>
      <c r="C1003" s="3"/>
      <c r="D1003" s="3"/>
      <c r="E1003" s="3"/>
      <c r="F1003" s="5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7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  <c r="DG1003" s="3"/>
      <c r="DH1003" s="3"/>
      <c r="DI1003" s="3"/>
      <c r="DJ1003" s="3"/>
      <c r="DK1003" s="3"/>
      <c r="DL1003" s="3"/>
      <c r="DM1003" s="3"/>
      <c r="DN1003" s="3"/>
      <c r="DO1003" s="3"/>
      <c r="DP1003" s="3"/>
      <c r="DQ1003" s="3"/>
      <c r="DR1003" s="3"/>
      <c r="DS1003" s="3"/>
      <c r="DT1003" s="3"/>
      <c r="DU1003" s="3"/>
      <c r="DV1003" s="3"/>
      <c r="DW1003" s="3"/>
      <c r="DX1003" s="3"/>
      <c r="DY1003" s="3"/>
      <c r="DZ1003" s="3"/>
      <c r="EA1003" s="3"/>
      <c r="EB1003" s="3"/>
      <c r="EC1003" s="3"/>
      <c r="ED1003" s="3"/>
      <c r="EE1003" s="3"/>
      <c r="EF1003" s="3"/>
      <c r="EG1003" s="3"/>
      <c r="EH1003" s="3"/>
      <c r="EI1003" s="3"/>
      <c r="EJ1003" s="3"/>
      <c r="EK1003" s="3"/>
      <c r="EL1003" s="3"/>
      <c r="EM1003" s="3"/>
      <c r="EN1003" s="3"/>
      <c r="EO1003" s="3"/>
      <c r="EP1003" s="3"/>
      <c r="EQ1003" s="3"/>
      <c r="ER1003" s="3"/>
      <c r="ES1003" s="3"/>
      <c r="ET1003" s="3"/>
      <c r="EU1003" s="3"/>
      <c r="EV1003" s="3"/>
      <c r="EW1003" s="3"/>
      <c r="EX1003" s="3"/>
      <c r="EY1003" s="3"/>
      <c r="EZ1003" s="3"/>
      <c r="FA1003" s="3"/>
      <c r="FB1003" s="3"/>
      <c r="FC1003" s="3"/>
      <c r="FD1003" s="3"/>
      <c r="FE1003" s="3"/>
      <c r="FF1003" s="3"/>
      <c r="FG1003" s="3"/>
      <c r="FH1003" s="3"/>
      <c r="FI1003" s="3"/>
      <c r="FJ1003" s="3"/>
      <c r="FK1003" s="3"/>
      <c r="FL1003" s="3"/>
      <c r="FM1003" s="3"/>
      <c r="FN1003" s="3"/>
      <c r="FO1003" s="3"/>
      <c r="FP1003" s="3"/>
      <c r="FQ1003" s="3"/>
      <c r="FR1003" s="3"/>
      <c r="FS1003" s="3"/>
      <c r="FT1003" s="3"/>
      <c r="FU1003" s="3"/>
      <c r="FV1003" s="3"/>
      <c r="FW1003" s="3"/>
      <c r="FX1003" s="3"/>
      <c r="FY1003" s="3"/>
      <c r="FZ1003" s="3"/>
      <c r="GA1003" s="3"/>
      <c r="GB1003" s="3"/>
      <c r="GC1003" s="3"/>
      <c r="GD1003" s="3"/>
      <c r="GE1003" s="3"/>
      <c r="GF1003" s="3"/>
      <c r="GG1003" s="3"/>
      <c r="GH1003" s="3"/>
      <c r="GI1003" s="3"/>
      <c r="GJ1003" s="3"/>
      <c r="GK1003" s="3"/>
      <c r="GL1003" s="3"/>
      <c r="GM1003" s="3"/>
      <c r="GN1003" s="3"/>
      <c r="GO1003" s="3"/>
      <c r="GP1003" s="3"/>
      <c r="GQ1003" s="3"/>
      <c r="GR1003" s="3"/>
      <c r="GS1003" s="3"/>
      <c r="GT1003" s="3"/>
      <c r="GU1003" s="3"/>
      <c r="GV1003" s="3"/>
      <c r="GW1003" s="3"/>
      <c r="GX1003" s="3"/>
      <c r="GY1003" s="3"/>
      <c r="GZ1003" s="3"/>
      <c r="HA1003" s="3"/>
      <c r="HB1003" s="3"/>
      <c r="HC1003" s="3"/>
      <c r="HD1003" s="3"/>
      <c r="HE1003" s="3"/>
      <c r="HF1003" s="3"/>
      <c r="HG1003" s="3"/>
      <c r="HH1003" s="3"/>
      <c r="HI1003" s="3"/>
      <c r="HJ1003" s="3"/>
      <c r="HK1003" s="3"/>
      <c r="HL1003" s="3"/>
      <c r="HM1003" s="3"/>
      <c r="HN1003" s="3"/>
      <c r="HO1003" s="3"/>
      <c r="HP1003" s="3"/>
      <c r="HQ1003" s="3"/>
      <c r="HR1003" s="3"/>
      <c r="HS1003" s="3"/>
      <c r="HT1003" s="3"/>
    </row>
    <row r="1004">
      <c r="A1004" s="14"/>
      <c r="B1004" s="3"/>
      <c r="C1004" s="3"/>
      <c r="D1004" s="3"/>
      <c r="E1004" s="3"/>
      <c r="F1004" s="5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7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  <c r="DG1004" s="3"/>
      <c r="DH1004" s="3"/>
      <c r="DI1004" s="3"/>
      <c r="DJ1004" s="3"/>
      <c r="DK1004" s="3"/>
      <c r="DL1004" s="3"/>
      <c r="DM1004" s="3"/>
      <c r="DN1004" s="3"/>
      <c r="DO1004" s="3"/>
      <c r="DP1004" s="3"/>
      <c r="DQ1004" s="3"/>
      <c r="DR1004" s="3"/>
      <c r="DS1004" s="3"/>
      <c r="DT1004" s="3"/>
      <c r="DU1004" s="3"/>
      <c r="DV1004" s="3"/>
      <c r="DW1004" s="3"/>
      <c r="DX1004" s="3"/>
      <c r="DY1004" s="3"/>
      <c r="DZ1004" s="3"/>
      <c r="EA1004" s="3"/>
      <c r="EB1004" s="3"/>
      <c r="EC1004" s="3"/>
      <c r="ED1004" s="3"/>
      <c r="EE1004" s="3"/>
      <c r="EF1004" s="3"/>
      <c r="EG1004" s="3"/>
      <c r="EH1004" s="3"/>
      <c r="EI1004" s="3"/>
      <c r="EJ1004" s="3"/>
      <c r="EK1004" s="3"/>
      <c r="EL1004" s="3"/>
      <c r="EM1004" s="3"/>
      <c r="EN1004" s="3"/>
      <c r="EO1004" s="3"/>
      <c r="EP1004" s="3"/>
      <c r="EQ1004" s="3"/>
      <c r="ER1004" s="3"/>
      <c r="ES1004" s="3"/>
      <c r="ET1004" s="3"/>
      <c r="EU1004" s="3"/>
      <c r="EV1004" s="3"/>
      <c r="EW1004" s="3"/>
      <c r="EX1004" s="3"/>
      <c r="EY1004" s="3"/>
      <c r="EZ1004" s="3"/>
      <c r="FA1004" s="3"/>
      <c r="FB1004" s="3"/>
      <c r="FC1004" s="3"/>
      <c r="FD1004" s="3"/>
      <c r="FE1004" s="3"/>
      <c r="FF1004" s="3"/>
      <c r="FG1004" s="3"/>
      <c r="FH1004" s="3"/>
      <c r="FI1004" s="3"/>
      <c r="FJ1004" s="3"/>
      <c r="FK1004" s="3"/>
      <c r="FL1004" s="3"/>
      <c r="FM1004" s="3"/>
      <c r="FN1004" s="3"/>
      <c r="FO1004" s="3"/>
      <c r="FP1004" s="3"/>
      <c r="FQ1004" s="3"/>
      <c r="FR1004" s="3"/>
      <c r="FS1004" s="3"/>
      <c r="FT1004" s="3"/>
      <c r="FU1004" s="3"/>
      <c r="FV1004" s="3"/>
      <c r="FW1004" s="3"/>
      <c r="FX1004" s="3"/>
      <c r="FY1004" s="3"/>
      <c r="FZ1004" s="3"/>
      <c r="GA1004" s="3"/>
      <c r="GB1004" s="3"/>
      <c r="GC1004" s="3"/>
      <c r="GD1004" s="3"/>
      <c r="GE1004" s="3"/>
      <c r="GF1004" s="3"/>
      <c r="GG1004" s="3"/>
      <c r="GH1004" s="3"/>
      <c r="GI1004" s="3"/>
      <c r="GJ1004" s="3"/>
      <c r="GK1004" s="3"/>
      <c r="GL1004" s="3"/>
      <c r="GM1004" s="3"/>
      <c r="GN1004" s="3"/>
      <c r="GO1004" s="3"/>
      <c r="GP1004" s="3"/>
      <c r="GQ1004" s="3"/>
      <c r="GR1004" s="3"/>
      <c r="GS1004" s="3"/>
      <c r="GT1004" s="3"/>
      <c r="GU1004" s="3"/>
      <c r="GV1004" s="3"/>
      <c r="GW1004" s="3"/>
      <c r="GX1004" s="3"/>
      <c r="GY1004" s="3"/>
      <c r="GZ1004" s="3"/>
      <c r="HA1004" s="3"/>
      <c r="HB1004" s="3"/>
      <c r="HC1004" s="3"/>
      <c r="HD1004" s="3"/>
      <c r="HE1004" s="3"/>
      <c r="HF1004" s="3"/>
      <c r="HG1004" s="3"/>
      <c r="HH1004" s="3"/>
      <c r="HI1004" s="3"/>
      <c r="HJ1004" s="3"/>
      <c r="HK1004" s="3"/>
      <c r="HL1004" s="3"/>
      <c r="HM1004" s="3"/>
      <c r="HN1004" s="3"/>
      <c r="HO1004" s="3"/>
      <c r="HP1004" s="3"/>
      <c r="HQ1004" s="3"/>
      <c r="HR1004" s="3"/>
      <c r="HS1004" s="3"/>
      <c r="HT1004" s="3"/>
    </row>
    <row r="1005">
      <c r="A1005" s="14"/>
      <c r="B1005" s="3"/>
      <c r="C1005" s="3"/>
      <c r="D1005" s="3"/>
      <c r="E1005" s="3"/>
      <c r="F1005" s="5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7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  <c r="DG1005" s="3"/>
      <c r="DH1005" s="3"/>
      <c r="DI1005" s="3"/>
      <c r="DJ1005" s="3"/>
      <c r="DK1005" s="3"/>
      <c r="DL1005" s="3"/>
      <c r="DM1005" s="3"/>
      <c r="DN1005" s="3"/>
      <c r="DO1005" s="3"/>
      <c r="DP1005" s="3"/>
      <c r="DQ1005" s="3"/>
      <c r="DR1005" s="3"/>
      <c r="DS1005" s="3"/>
      <c r="DT1005" s="3"/>
      <c r="DU1005" s="3"/>
      <c r="DV1005" s="3"/>
      <c r="DW1005" s="3"/>
      <c r="DX1005" s="3"/>
      <c r="DY1005" s="3"/>
      <c r="DZ1005" s="3"/>
      <c r="EA1005" s="3"/>
      <c r="EB1005" s="3"/>
      <c r="EC1005" s="3"/>
      <c r="ED1005" s="3"/>
      <c r="EE1005" s="3"/>
      <c r="EF1005" s="3"/>
      <c r="EG1005" s="3"/>
      <c r="EH1005" s="3"/>
      <c r="EI1005" s="3"/>
      <c r="EJ1005" s="3"/>
      <c r="EK1005" s="3"/>
      <c r="EL1005" s="3"/>
      <c r="EM1005" s="3"/>
      <c r="EN1005" s="3"/>
      <c r="EO1005" s="3"/>
      <c r="EP1005" s="3"/>
      <c r="EQ1005" s="3"/>
      <c r="ER1005" s="3"/>
      <c r="ES1005" s="3"/>
      <c r="ET1005" s="3"/>
      <c r="EU1005" s="3"/>
      <c r="EV1005" s="3"/>
      <c r="EW1005" s="3"/>
      <c r="EX1005" s="3"/>
      <c r="EY1005" s="3"/>
      <c r="EZ1005" s="3"/>
      <c r="FA1005" s="3"/>
      <c r="FB1005" s="3"/>
      <c r="FC1005" s="3"/>
      <c r="FD1005" s="3"/>
      <c r="FE1005" s="3"/>
      <c r="FF1005" s="3"/>
      <c r="FG1005" s="3"/>
      <c r="FH1005" s="3"/>
      <c r="FI1005" s="3"/>
      <c r="FJ1005" s="3"/>
      <c r="FK1005" s="3"/>
      <c r="FL1005" s="3"/>
      <c r="FM1005" s="3"/>
      <c r="FN1005" s="3"/>
      <c r="FO1005" s="3"/>
      <c r="FP1005" s="3"/>
      <c r="FQ1005" s="3"/>
      <c r="FR1005" s="3"/>
      <c r="FS1005" s="3"/>
      <c r="FT1005" s="3"/>
      <c r="FU1005" s="3"/>
      <c r="FV1005" s="3"/>
      <c r="FW1005" s="3"/>
      <c r="FX1005" s="3"/>
      <c r="FY1005" s="3"/>
      <c r="FZ1005" s="3"/>
      <c r="GA1005" s="3"/>
      <c r="GB1005" s="3"/>
      <c r="GC1005" s="3"/>
      <c r="GD1005" s="3"/>
      <c r="GE1005" s="3"/>
      <c r="GF1005" s="3"/>
      <c r="GG1005" s="3"/>
      <c r="GH1005" s="3"/>
      <c r="GI1005" s="3"/>
      <c r="GJ1005" s="3"/>
      <c r="GK1005" s="3"/>
      <c r="GL1005" s="3"/>
      <c r="GM1005" s="3"/>
      <c r="GN1005" s="3"/>
      <c r="GO1005" s="3"/>
      <c r="GP1005" s="3"/>
      <c r="GQ1005" s="3"/>
      <c r="GR1005" s="3"/>
      <c r="GS1005" s="3"/>
      <c r="GT1005" s="3"/>
      <c r="GU1005" s="3"/>
      <c r="GV1005" s="3"/>
      <c r="GW1005" s="3"/>
      <c r="GX1005" s="3"/>
      <c r="GY1005" s="3"/>
      <c r="GZ1005" s="3"/>
      <c r="HA1005" s="3"/>
      <c r="HB1005" s="3"/>
      <c r="HC1005" s="3"/>
      <c r="HD1005" s="3"/>
      <c r="HE1005" s="3"/>
      <c r="HF1005" s="3"/>
      <c r="HG1005" s="3"/>
      <c r="HH1005" s="3"/>
      <c r="HI1005" s="3"/>
      <c r="HJ1005" s="3"/>
      <c r="HK1005" s="3"/>
      <c r="HL1005" s="3"/>
      <c r="HM1005" s="3"/>
      <c r="HN1005" s="3"/>
      <c r="HO1005" s="3"/>
      <c r="HP1005" s="3"/>
      <c r="HQ1005" s="3"/>
      <c r="HR1005" s="3"/>
      <c r="HS1005" s="3"/>
      <c r="HT1005" s="3"/>
    </row>
    <row r="1006">
      <c r="A1006" s="14"/>
      <c r="B1006" s="3"/>
      <c r="C1006" s="3"/>
      <c r="D1006" s="3"/>
      <c r="E1006" s="3"/>
      <c r="F1006" s="5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7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  <c r="DG1006" s="3"/>
      <c r="DH1006" s="3"/>
      <c r="DI1006" s="3"/>
      <c r="DJ1006" s="3"/>
      <c r="DK1006" s="3"/>
      <c r="DL1006" s="3"/>
      <c r="DM1006" s="3"/>
      <c r="DN1006" s="3"/>
      <c r="DO1006" s="3"/>
      <c r="DP1006" s="3"/>
      <c r="DQ1006" s="3"/>
      <c r="DR1006" s="3"/>
      <c r="DS1006" s="3"/>
      <c r="DT1006" s="3"/>
      <c r="DU1006" s="3"/>
      <c r="DV1006" s="3"/>
      <c r="DW1006" s="3"/>
      <c r="DX1006" s="3"/>
      <c r="DY1006" s="3"/>
      <c r="DZ1006" s="3"/>
      <c r="EA1006" s="3"/>
      <c r="EB1006" s="3"/>
      <c r="EC1006" s="3"/>
      <c r="ED1006" s="3"/>
      <c r="EE1006" s="3"/>
      <c r="EF1006" s="3"/>
      <c r="EG1006" s="3"/>
      <c r="EH1006" s="3"/>
      <c r="EI1006" s="3"/>
      <c r="EJ1006" s="3"/>
      <c r="EK1006" s="3"/>
      <c r="EL1006" s="3"/>
      <c r="EM1006" s="3"/>
      <c r="EN1006" s="3"/>
      <c r="EO1006" s="3"/>
      <c r="EP1006" s="3"/>
      <c r="EQ1006" s="3"/>
      <c r="ER1006" s="3"/>
      <c r="ES1006" s="3"/>
      <c r="ET1006" s="3"/>
      <c r="EU1006" s="3"/>
      <c r="EV1006" s="3"/>
      <c r="EW1006" s="3"/>
      <c r="EX1006" s="3"/>
      <c r="EY1006" s="3"/>
      <c r="EZ1006" s="3"/>
      <c r="FA1006" s="3"/>
      <c r="FB1006" s="3"/>
      <c r="FC1006" s="3"/>
      <c r="FD1006" s="3"/>
      <c r="FE1006" s="3"/>
      <c r="FF1006" s="3"/>
      <c r="FG1006" s="3"/>
      <c r="FH1006" s="3"/>
      <c r="FI1006" s="3"/>
      <c r="FJ1006" s="3"/>
      <c r="FK1006" s="3"/>
      <c r="FL1006" s="3"/>
      <c r="FM1006" s="3"/>
      <c r="FN1006" s="3"/>
      <c r="FO1006" s="3"/>
      <c r="FP1006" s="3"/>
      <c r="FQ1006" s="3"/>
      <c r="FR1006" s="3"/>
      <c r="FS1006" s="3"/>
      <c r="FT1006" s="3"/>
      <c r="FU1006" s="3"/>
      <c r="FV1006" s="3"/>
      <c r="FW1006" s="3"/>
      <c r="FX1006" s="3"/>
      <c r="FY1006" s="3"/>
      <c r="FZ1006" s="3"/>
      <c r="GA1006" s="3"/>
      <c r="GB1006" s="3"/>
      <c r="GC1006" s="3"/>
      <c r="GD1006" s="3"/>
      <c r="GE1006" s="3"/>
      <c r="GF1006" s="3"/>
      <c r="GG1006" s="3"/>
      <c r="GH1006" s="3"/>
      <c r="GI1006" s="3"/>
      <c r="GJ1006" s="3"/>
      <c r="GK1006" s="3"/>
      <c r="GL1006" s="3"/>
      <c r="GM1006" s="3"/>
      <c r="GN1006" s="3"/>
      <c r="GO1006" s="3"/>
      <c r="GP1006" s="3"/>
      <c r="GQ1006" s="3"/>
      <c r="GR1006" s="3"/>
      <c r="GS1006" s="3"/>
      <c r="GT1006" s="3"/>
      <c r="GU1006" s="3"/>
      <c r="GV1006" s="3"/>
      <c r="GW1006" s="3"/>
      <c r="GX1006" s="3"/>
      <c r="GY1006" s="3"/>
      <c r="GZ1006" s="3"/>
      <c r="HA1006" s="3"/>
      <c r="HB1006" s="3"/>
      <c r="HC1006" s="3"/>
      <c r="HD1006" s="3"/>
      <c r="HE1006" s="3"/>
      <c r="HF1006" s="3"/>
      <c r="HG1006" s="3"/>
      <c r="HH1006" s="3"/>
      <c r="HI1006" s="3"/>
      <c r="HJ1006" s="3"/>
      <c r="HK1006" s="3"/>
      <c r="HL1006" s="3"/>
      <c r="HM1006" s="3"/>
      <c r="HN1006" s="3"/>
      <c r="HO1006" s="3"/>
      <c r="HP1006" s="3"/>
      <c r="HQ1006" s="3"/>
      <c r="HR1006" s="3"/>
      <c r="HS1006" s="3"/>
      <c r="HT1006" s="3"/>
    </row>
    <row r="1007">
      <c r="A1007" s="14"/>
      <c r="B1007" s="3"/>
      <c r="C1007" s="3"/>
      <c r="D1007" s="3"/>
      <c r="E1007" s="3"/>
      <c r="F1007" s="5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7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  <c r="DG1007" s="3"/>
      <c r="DH1007" s="3"/>
      <c r="DI1007" s="3"/>
      <c r="DJ1007" s="3"/>
      <c r="DK1007" s="3"/>
      <c r="DL1007" s="3"/>
      <c r="DM1007" s="3"/>
      <c r="DN1007" s="3"/>
      <c r="DO1007" s="3"/>
      <c r="DP1007" s="3"/>
      <c r="DQ1007" s="3"/>
      <c r="DR1007" s="3"/>
      <c r="DS1007" s="3"/>
      <c r="DT1007" s="3"/>
      <c r="DU1007" s="3"/>
      <c r="DV1007" s="3"/>
      <c r="DW1007" s="3"/>
      <c r="DX1007" s="3"/>
      <c r="DY1007" s="3"/>
      <c r="DZ1007" s="3"/>
      <c r="EA1007" s="3"/>
      <c r="EB1007" s="3"/>
      <c r="EC1007" s="3"/>
      <c r="ED1007" s="3"/>
      <c r="EE1007" s="3"/>
      <c r="EF1007" s="3"/>
      <c r="EG1007" s="3"/>
      <c r="EH1007" s="3"/>
      <c r="EI1007" s="3"/>
      <c r="EJ1007" s="3"/>
      <c r="EK1007" s="3"/>
      <c r="EL1007" s="3"/>
      <c r="EM1007" s="3"/>
      <c r="EN1007" s="3"/>
      <c r="EO1007" s="3"/>
      <c r="EP1007" s="3"/>
      <c r="EQ1007" s="3"/>
      <c r="ER1007" s="3"/>
      <c r="ES1007" s="3"/>
      <c r="ET1007" s="3"/>
      <c r="EU1007" s="3"/>
      <c r="EV1007" s="3"/>
      <c r="EW1007" s="3"/>
      <c r="EX1007" s="3"/>
      <c r="EY1007" s="3"/>
      <c r="EZ1007" s="3"/>
      <c r="FA1007" s="3"/>
      <c r="FB1007" s="3"/>
      <c r="FC1007" s="3"/>
      <c r="FD1007" s="3"/>
      <c r="FE1007" s="3"/>
      <c r="FF1007" s="3"/>
      <c r="FG1007" s="3"/>
      <c r="FH1007" s="3"/>
      <c r="FI1007" s="3"/>
      <c r="FJ1007" s="3"/>
      <c r="FK1007" s="3"/>
      <c r="FL1007" s="3"/>
      <c r="FM1007" s="3"/>
      <c r="FN1007" s="3"/>
      <c r="FO1007" s="3"/>
      <c r="FP1007" s="3"/>
      <c r="FQ1007" s="3"/>
      <c r="FR1007" s="3"/>
      <c r="FS1007" s="3"/>
      <c r="FT1007" s="3"/>
      <c r="FU1007" s="3"/>
      <c r="FV1007" s="3"/>
      <c r="FW1007" s="3"/>
      <c r="FX1007" s="3"/>
      <c r="FY1007" s="3"/>
      <c r="FZ1007" s="3"/>
      <c r="GA1007" s="3"/>
      <c r="GB1007" s="3"/>
      <c r="GC1007" s="3"/>
      <c r="GD1007" s="3"/>
      <c r="GE1007" s="3"/>
      <c r="GF1007" s="3"/>
      <c r="GG1007" s="3"/>
      <c r="GH1007" s="3"/>
      <c r="GI1007" s="3"/>
      <c r="GJ1007" s="3"/>
      <c r="GK1007" s="3"/>
      <c r="GL1007" s="3"/>
      <c r="GM1007" s="3"/>
      <c r="GN1007" s="3"/>
      <c r="GO1007" s="3"/>
      <c r="GP1007" s="3"/>
      <c r="GQ1007" s="3"/>
      <c r="GR1007" s="3"/>
      <c r="GS1007" s="3"/>
      <c r="GT1007" s="3"/>
      <c r="GU1007" s="3"/>
      <c r="GV1007" s="3"/>
      <c r="GW1007" s="3"/>
      <c r="GX1007" s="3"/>
      <c r="GY1007" s="3"/>
      <c r="GZ1007" s="3"/>
      <c r="HA1007" s="3"/>
      <c r="HB1007" s="3"/>
      <c r="HC1007" s="3"/>
      <c r="HD1007" s="3"/>
      <c r="HE1007" s="3"/>
      <c r="HF1007" s="3"/>
      <c r="HG1007" s="3"/>
      <c r="HH1007" s="3"/>
      <c r="HI1007" s="3"/>
      <c r="HJ1007" s="3"/>
      <c r="HK1007" s="3"/>
      <c r="HL1007" s="3"/>
      <c r="HM1007" s="3"/>
      <c r="HN1007" s="3"/>
      <c r="HO1007" s="3"/>
      <c r="HP1007" s="3"/>
      <c r="HQ1007" s="3"/>
      <c r="HR1007" s="3"/>
      <c r="HS1007" s="3"/>
      <c r="HT1007" s="3"/>
    </row>
    <row r="1008">
      <c r="A1008" s="14"/>
      <c r="B1008" s="3"/>
      <c r="C1008" s="3"/>
      <c r="D1008" s="3"/>
      <c r="E1008" s="3"/>
      <c r="F1008" s="5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7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  <c r="DG1008" s="3"/>
      <c r="DH1008" s="3"/>
      <c r="DI1008" s="3"/>
      <c r="DJ1008" s="3"/>
      <c r="DK1008" s="3"/>
      <c r="DL1008" s="3"/>
      <c r="DM1008" s="3"/>
      <c r="DN1008" s="3"/>
      <c r="DO1008" s="3"/>
      <c r="DP1008" s="3"/>
      <c r="DQ1008" s="3"/>
      <c r="DR1008" s="3"/>
      <c r="DS1008" s="3"/>
      <c r="DT1008" s="3"/>
      <c r="DU1008" s="3"/>
      <c r="DV1008" s="3"/>
      <c r="DW1008" s="3"/>
      <c r="DX1008" s="3"/>
      <c r="DY1008" s="3"/>
      <c r="DZ1008" s="3"/>
      <c r="EA1008" s="3"/>
      <c r="EB1008" s="3"/>
      <c r="EC1008" s="3"/>
      <c r="ED1008" s="3"/>
      <c r="EE1008" s="3"/>
      <c r="EF1008" s="3"/>
      <c r="EG1008" s="3"/>
      <c r="EH1008" s="3"/>
      <c r="EI1008" s="3"/>
      <c r="EJ1008" s="3"/>
      <c r="EK1008" s="3"/>
      <c r="EL1008" s="3"/>
      <c r="EM1008" s="3"/>
      <c r="EN1008" s="3"/>
      <c r="EO1008" s="3"/>
      <c r="EP1008" s="3"/>
      <c r="EQ1008" s="3"/>
      <c r="ER1008" s="3"/>
      <c r="ES1008" s="3"/>
      <c r="ET1008" s="3"/>
      <c r="EU1008" s="3"/>
      <c r="EV1008" s="3"/>
      <c r="EW1008" s="3"/>
      <c r="EX1008" s="3"/>
      <c r="EY1008" s="3"/>
      <c r="EZ1008" s="3"/>
      <c r="FA1008" s="3"/>
      <c r="FB1008" s="3"/>
      <c r="FC1008" s="3"/>
      <c r="FD1008" s="3"/>
      <c r="FE1008" s="3"/>
      <c r="FF1008" s="3"/>
      <c r="FG1008" s="3"/>
      <c r="FH1008" s="3"/>
      <c r="FI1008" s="3"/>
      <c r="FJ1008" s="3"/>
      <c r="FK1008" s="3"/>
      <c r="FL1008" s="3"/>
      <c r="FM1008" s="3"/>
      <c r="FN1008" s="3"/>
      <c r="FO1008" s="3"/>
      <c r="FP1008" s="3"/>
      <c r="FQ1008" s="3"/>
      <c r="FR1008" s="3"/>
      <c r="FS1008" s="3"/>
      <c r="FT1008" s="3"/>
      <c r="FU1008" s="3"/>
      <c r="FV1008" s="3"/>
      <c r="FW1008" s="3"/>
      <c r="FX1008" s="3"/>
      <c r="FY1008" s="3"/>
      <c r="FZ1008" s="3"/>
      <c r="GA1008" s="3"/>
      <c r="GB1008" s="3"/>
      <c r="GC1008" s="3"/>
      <c r="GD1008" s="3"/>
      <c r="GE1008" s="3"/>
      <c r="GF1008" s="3"/>
      <c r="GG1008" s="3"/>
      <c r="GH1008" s="3"/>
      <c r="GI1008" s="3"/>
      <c r="GJ1008" s="3"/>
      <c r="GK1008" s="3"/>
      <c r="GL1008" s="3"/>
      <c r="GM1008" s="3"/>
      <c r="GN1008" s="3"/>
      <c r="GO1008" s="3"/>
      <c r="GP1008" s="3"/>
      <c r="GQ1008" s="3"/>
      <c r="GR1008" s="3"/>
      <c r="GS1008" s="3"/>
      <c r="GT1008" s="3"/>
      <c r="GU1008" s="3"/>
      <c r="GV1008" s="3"/>
      <c r="GW1008" s="3"/>
      <c r="GX1008" s="3"/>
      <c r="GY1008" s="3"/>
      <c r="GZ1008" s="3"/>
      <c r="HA1008" s="3"/>
      <c r="HB1008" s="3"/>
      <c r="HC1008" s="3"/>
      <c r="HD1008" s="3"/>
      <c r="HE1008" s="3"/>
      <c r="HF1008" s="3"/>
      <c r="HG1008" s="3"/>
      <c r="HH1008" s="3"/>
      <c r="HI1008" s="3"/>
      <c r="HJ1008" s="3"/>
      <c r="HK1008" s="3"/>
      <c r="HL1008" s="3"/>
      <c r="HM1008" s="3"/>
      <c r="HN1008" s="3"/>
      <c r="HO1008" s="3"/>
      <c r="HP1008" s="3"/>
      <c r="HQ1008" s="3"/>
      <c r="HR1008" s="3"/>
      <c r="HS1008" s="3"/>
      <c r="HT1008" s="3"/>
    </row>
    <row r="1009">
      <c r="A1009" s="14"/>
      <c r="B1009" s="3"/>
      <c r="C1009" s="3"/>
      <c r="D1009" s="3"/>
      <c r="E1009" s="3"/>
      <c r="F1009" s="5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7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  <c r="DG1009" s="3"/>
      <c r="DH1009" s="3"/>
      <c r="DI1009" s="3"/>
      <c r="DJ1009" s="3"/>
      <c r="DK1009" s="3"/>
      <c r="DL1009" s="3"/>
      <c r="DM1009" s="3"/>
      <c r="DN1009" s="3"/>
      <c r="DO1009" s="3"/>
      <c r="DP1009" s="3"/>
      <c r="DQ1009" s="3"/>
      <c r="DR1009" s="3"/>
      <c r="DS1009" s="3"/>
      <c r="DT1009" s="3"/>
      <c r="DU1009" s="3"/>
      <c r="DV1009" s="3"/>
      <c r="DW1009" s="3"/>
      <c r="DX1009" s="3"/>
      <c r="DY1009" s="3"/>
      <c r="DZ1009" s="3"/>
      <c r="EA1009" s="3"/>
      <c r="EB1009" s="3"/>
      <c r="EC1009" s="3"/>
      <c r="ED1009" s="3"/>
      <c r="EE1009" s="3"/>
      <c r="EF1009" s="3"/>
      <c r="EG1009" s="3"/>
      <c r="EH1009" s="3"/>
      <c r="EI1009" s="3"/>
      <c r="EJ1009" s="3"/>
      <c r="EK1009" s="3"/>
      <c r="EL1009" s="3"/>
      <c r="EM1009" s="3"/>
      <c r="EN1009" s="3"/>
      <c r="EO1009" s="3"/>
      <c r="EP1009" s="3"/>
      <c r="EQ1009" s="3"/>
      <c r="ER1009" s="3"/>
      <c r="ES1009" s="3"/>
      <c r="ET1009" s="3"/>
      <c r="EU1009" s="3"/>
      <c r="EV1009" s="3"/>
      <c r="EW1009" s="3"/>
      <c r="EX1009" s="3"/>
      <c r="EY1009" s="3"/>
      <c r="EZ1009" s="3"/>
      <c r="FA1009" s="3"/>
      <c r="FB1009" s="3"/>
      <c r="FC1009" s="3"/>
      <c r="FD1009" s="3"/>
      <c r="FE1009" s="3"/>
      <c r="FF1009" s="3"/>
      <c r="FG1009" s="3"/>
      <c r="FH1009" s="3"/>
      <c r="FI1009" s="3"/>
      <c r="FJ1009" s="3"/>
      <c r="FK1009" s="3"/>
      <c r="FL1009" s="3"/>
      <c r="FM1009" s="3"/>
      <c r="FN1009" s="3"/>
      <c r="FO1009" s="3"/>
      <c r="FP1009" s="3"/>
      <c r="FQ1009" s="3"/>
      <c r="FR1009" s="3"/>
      <c r="FS1009" s="3"/>
      <c r="FT1009" s="3"/>
      <c r="FU1009" s="3"/>
      <c r="FV1009" s="3"/>
      <c r="FW1009" s="3"/>
      <c r="FX1009" s="3"/>
      <c r="FY1009" s="3"/>
      <c r="FZ1009" s="3"/>
      <c r="GA1009" s="3"/>
      <c r="GB1009" s="3"/>
      <c r="GC1009" s="3"/>
      <c r="GD1009" s="3"/>
      <c r="GE1009" s="3"/>
      <c r="GF1009" s="3"/>
      <c r="GG1009" s="3"/>
      <c r="GH1009" s="3"/>
      <c r="GI1009" s="3"/>
      <c r="GJ1009" s="3"/>
      <c r="GK1009" s="3"/>
      <c r="GL1009" s="3"/>
      <c r="GM1009" s="3"/>
      <c r="GN1009" s="3"/>
      <c r="GO1009" s="3"/>
      <c r="GP1009" s="3"/>
      <c r="GQ1009" s="3"/>
      <c r="GR1009" s="3"/>
      <c r="GS1009" s="3"/>
      <c r="GT1009" s="3"/>
      <c r="GU1009" s="3"/>
      <c r="GV1009" s="3"/>
      <c r="GW1009" s="3"/>
      <c r="GX1009" s="3"/>
      <c r="GY1009" s="3"/>
      <c r="GZ1009" s="3"/>
      <c r="HA1009" s="3"/>
      <c r="HB1009" s="3"/>
      <c r="HC1009" s="3"/>
      <c r="HD1009" s="3"/>
      <c r="HE1009" s="3"/>
      <c r="HF1009" s="3"/>
      <c r="HG1009" s="3"/>
      <c r="HH1009" s="3"/>
      <c r="HI1009" s="3"/>
      <c r="HJ1009" s="3"/>
      <c r="HK1009" s="3"/>
      <c r="HL1009" s="3"/>
      <c r="HM1009" s="3"/>
      <c r="HN1009" s="3"/>
      <c r="HO1009" s="3"/>
      <c r="HP1009" s="3"/>
      <c r="HQ1009" s="3"/>
      <c r="HR1009" s="3"/>
      <c r="HS1009" s="3"/>
      <c r="HT1009" s="3"/>
    </row>
    <row r="1010">
      <c r="A1010" s="14"/>
      <c r="B1010" s="3"/>
      <c r="C1010" s="3"/>
      <c r="D1010" s="3"/>
      <c r="E1010" s="3"/>
      <c r="F1010" s="5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7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  <c r="DG1010" s="3"/>
      <c r="DH1010" s="3"/>
      <c r="DI1010" s="3"/>
      <c r="DJ1010" s="3"/>
      <c r="DK1010" s="3"/>
      <c r="DL1010" s="3"/>
      <c r="DM1010" s="3"/>
      <c r="DN1010" s="3"/>
      <c r="DO1010" s="3"/>
      <c r="DP1010" s="3"/>
      <c r="DQ1010" s="3"/>
      <c r="DR1010" s="3"/>
      <c r="DS1010" s="3"/>
      <c r="DT1010" s="3"/>
      <c r="DU1010" s="3"/>
      <c r="DV1010" s="3"/>
      <c r="DW1010" s="3"/>
      <c r="DX1010" s="3"/>
      <c r="DY1010" s="3"/>
      <c r="DZ1010" s="3"/>
      <c r="EA1010" s="3"/>
      <c r="EB1010" s="3"/>
      <c r="EC1010" s="3"/>
      <c r="ED1010" s="3"/>
      <c r="EE1010" s="3"/>
      <c r="EF1010" s="3"/>
      <c r="EG1010" s="3"/>
      <c r="EH1010" s="3"/>
      <c r="EI1010" s="3"/>
      <c r="EJ1010" s="3"/>
      <c r="EK1010" s="3"/>
      <c r="EL1010" s="3"/>
      <c r="EM1010" s="3"/>
      <c r="EN1010" s="3"/>
      <c r="EO1010" s="3"/>
      <c r="EP1010" s="3"/>
      <c r="EQ1010" s="3"/>
      <c r="ER1010" s="3"/>
      <c r="ES1010" s="3"/>
      <c r="ET1010" s="3"/>
      <c r="EU1010" s="3"/>
      <c r="EV1010" s="3"/>
      <c r="EW1010" s="3"/>
      <c r="EX1010" s="3"/>
      <c r="EY1010" s="3"/>
      <c r="EZ1010" s="3"/>
      <c r="FA1010" s="3"/>
      <c r="FB1010" s="3"/>
      <c r="FC1010" s="3"/>
      <c r="FD1010" s="3"/>
      <c r="FE1010" s="3"/>
      <c r="FF1010" s="3"/>
      <c r="FG1010" s="3"/>
      <c r="FH1010" s="3"/>
      <c r="FI1010" s="3"/>
      <c r="FJ1010" s="3"/>
      <c r="FK1010" s="3"/>
      <c r="FL1010" s="3"/>
      <c r="FM1010" s="3"/>
      <c r="FN1010" s="3"/>
      <c r="FO1010" s="3"/>
      <c r="FP1010" s="3"/>
      <c r="FQ1010" s="3"/>
      <c r="FR1010" s="3"/>
      <c r="FS1010" s="3"/>
      <c r="FT1010" s="3"/>
      <c r="FU1010" s="3"/>
      <c r="FV1010" s="3"/>
      <c r="FW1010" s="3"/>
      <c r="FX1010" s="3"/>
      <c r="FY1010" s="3"/>
      <c r="FZ1010" s="3"/>
      <c r="GA1010" s="3"/>
      <c r="GB1010" s="3"/>
      <c r="GC1010" s="3"/>
      <c r="GD1010" s="3"/>
      <c r="GE1010" s="3"/>
      <c r="GF1010" s="3"/>
      <c r="GG1010" s="3"/>
      <c r="GH1010" s="3"/>
      <c r="GI1010" s="3"/>
      <c r="GJ1010" s="3"/>
      <c r="GK1010" s="3"/>
      <c r="GL1010" s="3"/>
      <c r="GM1010" s="3"/>
      <c r="GN1010" s="3"/>
      <c r="GO1010" s="3"/>
      <c r="GP1010" s="3"/>
      <c r="GQ1010" s="3"/>
      <c r="GR1010" s="3"/>
      <c r="GS1010" s="3"/>
      <c r="GT1010" s="3"/>
      <c r="GU1010" s="3"/>
      <c r="GV1010" s="3"/>
      <c r="GW1010" s="3"/>
      <c r="GX1010" s="3"/>
      <c r="GY1010" s="3"/>
      <c r="GZ1010" s="3"/>
      <c r="HA1010" s="3"/>
      <c r="HB1010" s="3"/>
      <c r="HC1010" s="3"/>
      <c r="HD1010" s="3"/>
      <c r="HE1010" s="3"/>
      <c r="HF1010" s="3"/>
      <c r="HG1010" s="3"/>
      <c r="HH1010" s="3"/>
      <c r="HI1010" s="3"/>
      <c r="HJ1010" s="3"/>
      <c r="HK1010" s="3"/>
      <c r="HL1010" s="3"/>
      <c r="HM1010" s="3"/>
      <c r="HN1010" s="3"/>
      <c r="HO1010" s="3"/>
      <c r="HP1010" s="3"/>
      <c r="HQ1010" s="3"/>
      <c r="HR1010" s="3"/>
      <c r="HS1010" s="3"/>
      <c r="HT1010" s="3"/>
    </row>
    <row r="1011">
      <c r="A1011" s="14"/>
      <c r="B1011" s="3"/>
      <c r="C1011" s="3"/>
      <c r="D1011" s="3"/>
      <c r="E1011" s="3"/>
      <c r="F1011" s="5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7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  <c r="DG1011" s="3"/>
      <c r="DH1011" s="3"/>
      <c r="DI1011" s="3"/>
      <c r="DJ1011" s="3"/>
      <c r="DK1011" s="3"/>
      <c r="DL1011" s="3"/>
      <c r="DM1011" s="3"/>
      <c r="DN1011" s="3"/>
      <c r="DO1011" s="3"/>
      <c r="DP1011" s="3"/>
      <c r="DQ1011" s="3"/>
      <c r="DR1011" s="3"/>
      <c r="DS1011" s="3"/>
      <c r="DT1011" s="3"/>
      <c r="DU1011" s="3"/>
      <c r="DV1011" s="3"/>
      <c r="DW1011" s="3"/>
      <c r="DX1011" s="3"/>
      <c r="DY1011" s="3"/>
      <c r="DZ1011" s="3"/>
      <c r="EA1011" s="3"/>
      <c r="EB1011" s="3"/>
      <c r="EC1011" s="3"/>
      <c r="ED1011" s="3"/>
      <c r="EE1011" s="3"/>
      <c r="EF1011" s="3"/>
      <c r="EG1011" s="3"/>
      <c r="EH1011" s="3"/>
      <c r="EI1011" s="3"/>
      <c r="EJ1011" s="3"/>
      <c r="EK1011" s="3"/>
      <c r="EL1011" s="3"/>
      <c r="EM1011" s="3"/>
      <c r="EN1011" s="3"/>
      <c r="EO1011" s="3"/>
      <c r="EP1011" s="3"/>
      <c r="EQ1011" s="3"/>
      <c r="ER1011" s="3"/>
      <c r="ES1011" s="3"/>
      <c r="ET1011" s="3"/>
      <c r="EU1011" s="3"/>
      <c r="EV1011" s="3"/>
      <c r="EW1011" s="3"/>
      <c r="EX1011" s="3"/>
      <c r="EY1011" s="3"/>
      <c r="EZ1011" s="3"/>
      <c r="FA1011" s="3"/>
      <c r="FB1011" s="3"/>
      <c r="FC1011" s="3"/>
      <c r="FD1011" s="3"/>
      <c r="FE1011" s="3"/>
      <c r="FF1011" s="3"/>
      <c r="FG1011" s="3"/>
      <c r="FH1011" s="3"/>
      <c r="FI1011" s="3"/>
      <c r="FJ1011" s="3"/>
      <c r="FK1011" s="3"/>
      <c r="FL1011" s="3"/>
      <c r="FM1011" s="3"/>
      <c r="FN1011" s="3"/>
      <c r="FO1011" s="3"/>
      <c r="FP1011" s="3"/>
      <c r="FQ1011" s="3"/>
      <c r="FR1011" s="3"/>
      <c r="FS1011" s="3"/>
      <c r="FT1011" s="3"/>
      <c r="FU1011" s="3"/>
      <c r="FV1011" s="3"/>
      <c r="FW1011" s="3"/>
      <c r="FX1011" s="3"/>
      <c r="FY1011" s="3"/>
      <c r="FZ1011" s="3"/>
      <c r="GA1011" s="3"/>
      <c r="GB1011" s="3"/>
      <c r="GC1011" s="3"/>
      <c r="GD1011" s="3"/>
      <c r="GE1011" s="3"/>
      <c r="GF1011" s="3"/>
      <c r="GG1011" s="3"/>
      <c r="GH1011" s="3"/>
      <c r="GI1011" s="3"/>
      <c r="GJ1011" s="3"/>
      <c r="GK1011" s="3"/>
      <c r="GL1011" s="3"/>
      <c r="GM1011" s="3"/>
      <c r="GN1011" s="3"/>
      <c r="GO1011" s="3"/>
      <c r="GP1011" s="3"/>
      <c r="GQ1011" s="3"/>
      <c r="GR1011" s="3"/>
      <c r="GS1011" s="3"/>
      <c r="GT1011" s="3"/>
      <c r="GU1011" s="3"/>
      <c r="GV1011" s="3"/>
      <c r="GW1011" s="3"/>
      <c r="GX1011" s="3"/>
      <c r="GY1011" s="3"/>
      <c r="GZ1011" s="3"/>
      <c r="HA1011" s="3"/>
      <c r="HB1011" s="3"/>
      <c r="HC1011" s="3"/>
      <c r="HD1011" s="3"/>
      <c r="HE1011" s="3"/>
      <c r="HF1011" s="3"/>
      <c r="HG1011" s="3"/>
      <c r="HH1011" s="3"/>
      <c r="HI1011" s="3"/>
      <c r="HJ1011" s="3"/>
      <c r="HK1011" s="3"/>
      <c r="HL1011" s="3"/>
      <c r="HM1011" s="3"/>
      <c r="HN1011" s="3"/>
      <c r="HO1011" s="3"/>
      <c r="HP1011" s="3"/>
      <c r="HQ1011" s="3"/>
      <c r="HR1011" s="3"/>
      <c r="HS1011" s="3"/>
      <c r="HT1011" s="3"/>
    </row>
  </sheetData>
  <mergeCells count="1">
    <mergeCell ref="A27:A34"/>
  </mergeCells>
  <conditionalFormatting sqref="CG5:HT70 E36:CF36">
    <cfRule type="cellIs" dxfId="0" priority="1" operator="equal">
      <formula>"Lead"</formula>
    </cfRule>
  </conditionalFormatting>
  <conditionalFormatting sqref="F1:X1011 Y2:HT2 AG4:AG28 AN4:AN28 AR4:AR8 AV4:AV8 BA4:BA8 Y5:AA8 AH5:AK8 AO5:AQ8 AT5:AU8 AW5:AZ8 BB5:HT8 AB7:AF8 AL7:AM8 AS7:AS8 Y10:Z11 AK10:AK17 AR10:AR28 AU10:AU27 AV10:AV11 AW10:AW27 AX10:AY10 AZ10:BA11 BB10:BD10 BF10:BH10 BK10 BQ10 DI10:DJ10 GC10 AI12:AI17 AP12:AP27 Y14:Y17 Z14:Z23 AA14:AA17 AB14:AB23 AC14:AC17 AD14:AD23 AE14:AE17 AF14:AF23 AH14:AH23 AJ14:AJ23 AL14:AM23 AO14:AO27 AQ14:AQ27 AS14:AS28 AT14:AT27 AV14:AV28 AX14:AX27 AY14:AY28 AZ14:BB27 BC14:BM23 BN14:BN28 BO14:HT23 Y19:Y23 AA19:AA23 AC19:AC23 AE19:AE23 AI19:AI23 AK19:AK23 CH28:CI28 CL28:CO28 CU28:CW28 AH29 AO29 AE30:AE32 AG30:AG34 AI30:AI32 AN30:AN34 AP30:AP33 AF33 AM33">
    <cfRule type="cellIs" dxfId="1" priority="2" operator="equal">
      <formula>"In nursery"</formula>
    </cfRule>
  </conditionalFormatting>
  <conditionalFormatting sqref="F1:HT1011 E36">
    <cfRule type="cellIs" dxfId="2" priority="3" operator="equal">
      <formula>"Gone"</formula>
    </cfRule>
  </conditionalFormatting>
  <conditionalFormatting sqref="F1:HT1011 E36">
    <cfRule type="cellIs" dxfId="2" priority="4" operator="equal">
      <formula>"Lula"</formula>
    </cfRule>
  </conditionalFormatting>
  <conditionalFormatting sqref="F1:HT1011 E36">
    <cfRule type="cellIs" dxfId="2" priority="5" operator="equal">
      <formula>"Nursery"</formula>
    </cfRule>
  </conditionalFormatting>
  <conditionalFormatting sqref="F5:HT111 E36">
    <cfRule type="cellIs" dxfId="2" priority="6" operator="equal">
      <formula>"Unavailable"</formula>
    </cfRule>
  </conditionalFormatting>
  <conditionalFormatting sqref="F1:HT1011 E36">
    <cfRule type="cellIs" dxfId="3" priority="7" operator="equal">
      <formula>"Drums"</formula>
    </cfRule>
  </conditionalFormatting>
  <conditionalFormatting sqref="F1:HT1011 E36">
    <cfRule type="cellIs" dxfId="4" priority="8" operator="equal">
      <formula>"Bass"</formula>
    </cfRule>
  </conditionalFormatting>
  <conditionalFormatting sqref="A1:HT1011">
    <cfRule type="cellIs" dxfId="5" priority="9" operator="equal">
      <formula>"Here"</formula>
    </cfRule>
  </conditionalFormatting>
  <conditionalFormatting sqref="A1:HT1011">
    <cfRule type="containsText" dxfId="5" priority="10" operator="containsText" text="Available">
      <formula>NOT(ISERROR(SEARCH(("Available"),(A1))))</formula>
    </cfRule>
  </conditionalFormatting>
  <conditionalFormatting sqref="CG5:HT35">
    <cfRule type="notContainsBlanks" dxfId="6" priority="11">
      <formula>LEN(TRIM(CG5))&gt;0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4.63"/>
  </cols>
  <sheetData>
    <row r="1">
      <c r="B1" s="57" t="s">
        <v>140</v>
      </c>
      <c r="C1" s="57" t="s">
        <v>140</v>
      </c>
      <c r="D1" s="57" t="s">
        <v>140</v>
      </c>
      <c r="E1" s="57" t="s">
        <v>140</v>
      </c>
      <c r="F1" s="57" t="s">
        <v>141</v>
      </c>
      <c r="G1" s="57" t="s">
        <v>141</v>
      </c>
      <c r="H1" s="57" t="s">
        <v>141</v>
      </c>
      <c r="I1" s="57" t="s">
        <v>141</v>
      </c>
    </row>
    <row r="2">
      <c r="B2" s="57" t="s">
        <v>142</v>
      </c>
      <c r="C2" s="57" t="s">
        <v>27</v>
      </c>
      <c r="D2" s="57" t="s">
        <v>23</v>
      </c>
      <c r="E2" s="57" t="s">
        <v>143</v>
      </c>
      <c r="F2" s="57" t="s">
        <v>142</v>
      </c>
      <c r="G2" s="57" t="s">
        <v>27</v>
      </c>
      <c r="H2" s="57" t="s">
        <v>23</v>
      </c>
      <c r="I2" s="57" t="s">
        <v>143</v>
      </c>
    </row>
    <row r="3">
      <c r="A3" s="57" t="s">
        <v>58</v>
      </c>
    </row>
    <row r="4">
      <c r="A4" s="57" t="s">
        <v>44</v>
      </c>
    </row>
    <row r="5">
      <c r="A5" s="57" t="s">
        <v>45</v>
      </c>
    </row>
    <row r="16">
      <c r="L16" s="58" t="s">
        <v>44</v>
      </c>
      <c r="M16" s="58" t="s">
        <v>45</v>
      </c>
    </row>
    <row r="17">
      <c r="L17" s="59" t="s">
        <v>144</v>
      </c>
      <c r="M17" s="57" t="s">
        <v>145</v>
      </c>
    </row>
    <row r="18">
      <c r="L18" s="57" t="s">
        <v>146</v>
      </c>
      <c r="M18" s="57" t="s">
        <v>147</v>
      </c>
    </row>
    <row r="19">
      <c r="L19" s="57" t="s">
        <v>148</v>
      </c>
      <c r="M19" s="57" t="s">
        <v>149</v>
      </c>
    </row>
    <row r="20">
      <c r="L20" s="57" t="s">
        <v>150</v>
      </c>
    </row>
    <row r="21">
      <c r="L21" s="57" t="s">
        <v>151</v>
      </c>
    </row>
    <row r="22">
      <c r="L22" s="57" t="s">
        <v>152</v>
      </c>
    </row>
  </sheetData>
  <drawing r:id="rId1"/>
</worksheet>
</file>